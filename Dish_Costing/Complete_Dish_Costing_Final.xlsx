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loud Kitchen\AI Teams\Dish_Costing\"/>
    </mc:Choice>
  </mc:AlternateContent>
  <xr:revisionPtr revIDLastSave="0" documentId="8_{93A0C2D5-1F03-46C3-BE05-966078DD84AA}" xr6:coauthVersionLast="47" xr6:coauthVersionMax="47" xr10:uidLastSave="{00000000-0000-0000-0000-000000000000}"/>
  <bookViews>
    <workbookView xWindow="-90" yWindow="0" windowWidth="14580" windowHeight="17370" xr2:uid="{00000000-000D-0000-FFFF-FFFF00000000}"/>
  </bookViews>
  <sheets>
    <sheet name="Korean Menu" sheetId="1" r:id="rId1"/>
    <sheet name="Korean Ramadan Combos" sheetId="2" r:id="rId2"/>
    <sheet name="American Menu" sheetId="3" r:id="rId3"/>
    <sheet name="Ramadan Burger Brands" sheetId="4" r:id="rId4"/>
    <sheet name="Ramadan Slider Brands" sheetId="5" r:id="rId5"/>
    <sheet name="Ramadan Wing Brands" sheetId="6" r:id="rId6"/>
    <sheet name="Mexican Menu" sheetId="7" r:id="rId7"/>
    <sheet name="Mexican Ramadan Combos" sheetId="8" r:id="rId8"/>
    <sheet name="Indian Menu" sheetId="9" r:id="rId9"/>
    <sheet name="Indian Ramadan Combos" sheetId="10" r:id="rId10"/>
    <sheet name="Japanese Menu" sheetId="11" r:id="rId11"/>
    <sheet name="Japanese Ramadan Combos" sheetId="12" r:id="rId12"/>
    <sheet name="Poke Menu" sheetId="13" r:id="rId13"/>
    <sheet name="Chinese Recipes" sheetId="14" r:id="rId14"/>
    <sheet name="Chinese Menu" sheetId="15" r:id="rId15"/>
  </sheets>
  <externalReferences>
    <externalReference r:id="rId16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4" i="1"/>
  <c r="E35" i="1" s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E5" i="1"/>
  <c r="E4" i="1"/>
  <c r="E3" i="1"/>
  <c r="E2" i="1"/>
  <c r="K159" i="15" l="1"/>
  <c r="M159" i="15" s="1"/>
  <c r="H159" i="15"/>
  <c r="I159" i="15" s="1"/>
  <c r="K158" i="15"/>
  <c r="M158" i="15" s="1"/>
  <c r="H158" i="15"/>
  <c r="I158" i="15" s="1"/>
  <c r="K157" i="15"/>
  <c r="M157" i="15" s="1"/>
  <c r="H157" i="15"/>
  <c r="I157" i="15" s="1"/>
  <c r="K156" i="15"/>
  <c r="M156" i="15" s="1"/>
  <c r="H156" i="15"/>
  <c r="I156" i="15" s="1"/>
  <c r="K155" i="15"/>
  <c r="M155" i="15" s="1"/>
  <c r="I155" i="15"/>
  <c r="H155" i="15"/>
  <c r="K154" i="15"/>
  <c r="M154" i="15" s="1"/>
  <c r="H154" i="15"/>
  <c r="I154" i="15" s="1"/>
  <c r="K153" i="15"/>
  <c r="M153" i="15" s="1"/>
  <c r="H153" i="15"/>
  <c r="I153" i="15" s="1"/>
  <c r="K152" i="15"/>
  <c r="M152" i="15" s="1"/>
  <c r="H152" i="15"/>
  <c r="I152" i="15" s="1"/>
  <c r="K151" i="15"/>
  <c r="M151" i="15" s="1"/>
  <c r="H151" i="15"/>
  <c r="I151" i="15" s="1"/>
  <c r="M150" i="15"/>
  <c r="K150" i="15"/>
  <c r="H150" i="15"/>
  <c r="I150" i="15" s="1"/>
  <c r="K149" i="15"/>
  <c r="M149" i="15" s="1"/>
  <c r="I149" i="15"/>
  <c r="H149" i="15"/>
  <c r="K148" i="15"/>
  <c r="M148" i="15" s="1"/>
  <c r="H148" i="15"/>
  <c r="I148" i="15" s="1"/>
  <c r="K147" i="15"/>
  <c r="M147" i="15" s="1"/>
  <c r="H147" i="15"/>
  <c r="I147" i="15" s="1"/>
  <c r="M146" i="15"/>
  <c r="K146" i="15"/>
  <c r="I146" i="15"/>
  <c r="H146" i="15"/>
  <c r="K145" i="15"/>
  <c r="M145" i="15" s="1"/>
  <c r="H145" i="15"/>
  <c r="I145" i="15" s="1"/>
  <c r="K144" i="15"/>
  <c r="M144" i="15" s="1"/>
  <c r="H144" i="15"/>
  <c r="I144" i="15" s="1"/>
  <c r="K143" i="15"/>
  <c r="M143" i="15" s="1"/>
  <c r="H143" i="15"/>
  <c r="I143" i="15" s="1"/>
  <c r="M142" i="15"/>
  <c r="K142" i="15"/>
  <c r="H142" i="15"/>
  <c r="I142" i="15" s="1"/>
  <c r="K141" i="15"/>
  <c r="M141" i="15" s="1"/>
  <c r="H141" i="15"/>
  <c r="I141" i="15" s="1"/>
  <c r="K140" i="15"/>
  <c r="M140" i="15" s="1"/>
  <c r="I140" i="15"/>
  <c r="H140" i="15"/>
  <c r="K139" i="15"/>
  <c r="M139" i="15" s="1"/>
  <c r="I139" i="15"/>
  <c r="H139" i="15"/>
  <c r="K138" i="15"/>
  <c r="M138" i="15" s="1"/>
  <c r="H138" i="15"/>
  <c r="I138" i="15" s="1"/>
  <c r="K137" i="15"/>
  <c r="M137" i="15" s="1"/>
  <c r="H137" i="15"/>
  <c r="I137" i="15" s="1"/>
  <c r="K136" i="15"/>
  <c r="M136" i="15" s="1"/>
  <c r="H136" i="15"/>
  <c r="I136" i="15" s="1"/>
  <c r="K135" i="15"/>
  <c r="M135" i="15" s="1"/>
  <c r="I135" i="15"/>
  <c r="H135" i="15"/>
  <c r="M134" i="15"/>
  <c r="K134" i="15"/>
  <c r="H134" i="15"/>
  <c r="I134" i="15" s="1"/>
  <c r="K133" i="15"/>
  <c r="M133" i="15" s="1"/>
  <c r="H133" i="15"/>
  <c r="I133" i="15" s="1"/>
  <c r="K132" i="15"/>
  <c r="M132" i="15" s="1"/>
  <c r="H132" i="15"/>
  <c r="I132" i="15" s="1"/>
  <c r="K131" i="15"/>
  <c r="M131" i="15" s="1"/>
  <c r="I131" i="15"/>
  <c r="H131" i="15"/>
  <c r="K130" i="15"/>
  <c r="M130" i="15" s="1"/>
  <c r="I130" i="15"/>
  <c r="H130" i="15"/>
  <c r="K129" i="15"/>
  <c r="M129" i="15" s="1"/>
  <c r="H129" i="15"/>
  <c r="I129" i="15" s="1"/>
  <c r="K128" i="15"/>
  <c r="M128" i="15" s="1"/>
  <c r="H128" i="15"/>
  <c r="I128" i="15" s="1"/>
  <c r="K127" i="15"/>
  <c r="M127" i="15" s="1"/>
  <c r="H127" i="15"/>
  <c r="I127" i="15" s="1"/>
  <c r="K126" i="15"/>
  <c r="M126" i="15" s="1"/>
  <c r="H126" i="15"/>
  <c r="I126" i="15" s="1"/>
  <c r="K125" i="15"/>
  <c r="M125" i="15" s="1"/>
  <c r="H125" i="15"/>
  <c r="I125" i="15" s="1"/>
  <c r="K124" i="15"/>
  <c r="M124" i="15" s="1"/>
  <c r="H124" i="15"/>
  <c r="I124" i="15" s="1"/>
  <c r="K123" i="15"/>
  <c r="M123" i="15" s="1"/>
  <c r="I123" i="15"/>
  <c r="H123" i="15"/>
  <c r="K122" i="15"/>
  <c r="M122" i="15" s="1"/>
  <c r="H122" i="15"/>
  <c r="I122" i="15" s="1"/>
  <c r="K121" i="15"/>
  <c r="M121" i="15" s="1"/>
  <c r="I121" i="15"/>
  <c r="H121" i="15"/>
  <c r="K120" i="15"/>
  <c r="M120" i="15" s="1"/>
  <c r="H120" i="15"/>
  <c r="I120" i="15" s="1"/>
  <c r="K119" i="15"/>
  <c r="M119" i="15" s="1"/>
  <c r="H119" i="15"/>
  <c r="I119" i="15" s="1"/>
  <c r="M118" i="15"/>
  <c r="K118" i="15"/>
  <c r="H118" i="15"/>
  <c r="I118" i="15" s="1"/>
  <c r="K117" i="15"/>
  <c r="M117" i="15" s="1"/>
  <c r="H117" i="15"/>
  <c r="I117" i="15" s="1"/>
  <c r="K116" i="15"/>
  <c r="M116" i="15" s="1"/>
  <c r="H116" i="15"/>
  <c r="I116" i="15" s="1"/>
  <c r="K115" i="15"/>
  <c r="M115" i="15" s="1"/>
  <c r="H115" i="15"/>
  <c r="I115" i="15" s="1"/>
  <c r="K114" i="15"/>
  <c r="M114" i="15" s="1"/>
  <c r="I114" i="15"/>
  <c r="H114" i="15"/>
  <c r="K113" i="15"/>
  <c r="M113" i="15" s="1"/>
  <c r="H113" i="15"/>
  <c r="I113" i="15" s="1"/>
  <c r="K112" i="15"/>
  <c r="M112" i="15" s="1"/>
  <c r="H112" i="15"/>
  <c r="I112" i="15" s="1"/>
  <c r="K111" i="15"/>
  <c r="M111" i="15" s="1"/>
  <c r="H111" i="15"/>
  <c r="I111" i="15" s="1"/>
  <c r="K110" i="15"/>
  <c r="M110" i="15" s="1"/>
  <c r="H110" i="15"/>
  <c r="I110" i="15" s="1"/>
  <c r="K109" i="15"/>
  <c r="M109" i="15" s="1"/>
  <c r="H109" i="15"/>
  <c r="I109" i="15" s="1"/>
  <c r="K108" i="15"/>
  <c r="M108" i="15" s="1"/>
  <c r="H108" i="15"/>
  <c r="I108" i="15" s="1"/>
  <c r="K107" i="15"/>
  <c r="M107" i="15" s="1"/>
  <c r="I107" i="15"/>
  <c r="H107" i="15"/>
  <c r="K106" i="15"/>
  <c r="M106" i="15" s="1"/>
  <c r="H106" i="15"/>
  <c r="I106" i="15" s="1"/>
  <c r="K105" i="15"/>
  <c r="M105" i="15" s="1"/>
  <c r="H105" i="15"/>
  <c r="I105" i="15" s="1"/>
  <c r="K104" i="15"/>
  <c r="M104" i="15" s="1"/>
  <c r="H104" i="15"/>
  <c r="I104" i="15" s="1"/>
  <c r="K103" i="15"/>
  <c r="M103" i="15" s="1"/>
  <c r="I103" i="15"/>
  <c r="H103" i="15"/>
  <c r="M102" i="15"/>
  <c r="K102" i="15"/>
  <c r="H102" i="15"/>
  <c r="I102" i="15" s="1"/>
  <c r="K101" i="15"/>
  <c r="M101" i="15" s="1"/>
  <c r="H101" i="15"/>
  <c r="I101" i="15" s="1"/>
  <c r="M100" i="15"/>
  <c r="K100" i="15"/>
  <c r="I100" i="15"/>
  <c r="H100" i="15"/>
  <c r="K99" i="15"/>
  <c r="M99" i="15" s="1"/>
  <c r="H99" i="15"/>
  <c r="I99" i="15" s="1"/>
  <c r="M98" i="15"/>
  <c r="K98" i="15"/>
  <c r="I98" i="15"/>
  <c r="H98" i="15"/>
  <c r="K97" i="15"/>
  <c r="M97" i="15" s="1"/>
  <c r="I97" i="15"/>
  <c r="H97" i="15"/>
  <c r="K96" i="15"/>
  <c r="M96" i="15" s="1"/>
  <c r="I96" i="15"/>
  <c r="H96" i="15"/>
  <c r="K95" i="15"/>
  <c r="M95" i="15" s="1"/>
  <c r="H95" i="15"/>
  <c r="I95" i="15" s="1"/>
  <c r="M94" i="15"/>
  <c r="K94" i="15"/>
  <c r="H94" i="15"/>
  <c r="I94" i="15" s="1"/>
  <c r="K93" i="15"/>
  <c r="M93" i="15" s="1"/>
  <c r="I93" i="15"/>
  <c r="H93" i="15"/>
  <c r="K92" i="15"/>
  <c r="M92" i="15" s="1"/>
  <c r="H92" i="15"/>
  <c r="I92" i="15" s="1"/>
  <c r="K91" i="15"/>
  <c r="M91" i="15" s="1"/>
  <c r="I91" i="15"/>
  <c r="H91" i="15"/>
  <c r="K90" i="15"/>
  <c r="M90" i="15" s="1"/>
  <c r="H90" i="15"/>
  <c r="I90" i="15" s="1"/>
  <c r="K89" i="15"/>
  <c r="M89" i="15" s="1"/>
  <c r="H89" i="15"/>
  <c r="I89" i="15" s="1"/>
  <c r="M88" i="15"/>
  <c r="K88" i="15"/>
  <c r="H88" i="15"/>
  <c r="I88" i="15" s="1"/>
  <c r="K87" i="15"/>
  <c r="M87" i="15" s="1"/>
  <c r="I87" i="15"/>
  <c r="H87" i="15"/>
  <c r="M86" i="15"/>
  <c r="K86" i="15"/>
  <c r="H86" i="15"/>
  <c r="I86" i="15" s="1"/>
  <c r="K85" i="15"/>
  <c r="M85" i="15" s="1"/>
  <c r="I85" i="15"/>
  <c r="H85" i="15"/>
  <c r="M84" i="15"/>
  <c r="K84" i="15"/>
  <c r="I84" i="15"/>
  <c r="H84" i="15"/>
  <c r="K83" i="15"/>
  <c r="M83" i="15" s="1"/>
  <c r="H83" i="15"/>
  <c r="I83" i="15" s="1"/>
  <c r="M82" i="15"/>
  <c r="K82" i="15"/>
  <c r="I82" i="15"/>
  <c r="H82" i="15"/>
  <c r="K81" i="15"/>
  <c r="M81" i="15" s="1"/>
  <c r="H81" i="15"/>
  <c r="I81" i="15" s="1"/>
  <c r="K80" i="15"/>
  <c r="M80" i="15" s="1"/>
  <c r="H80" i="15"/>
  <c r="I80" i="15" s="1"/>
  <c r="K79" i="15"/>
  <c r="M79" i="15" s="1"/>
  <c r="H79" i="15"/>
  <c r="I79" i="15" s="1"/>
  <c r="K78" i="15"/>
  <c r="M78" i="15" s="1"/>
  <c r="I78" i="15"/>
  <c r="H78" i="15"/>
  <c r="K77" i="15"/>
  <c r="M77" i="15" s="1"/>
  <c r="I77" i="15"/>
  <c r="H77" i="15"/>
  <c r="M76" i="15"/>
  <c r="K76" i="15"/>
  <c r="H76" i="15"/>
  <c r="I76" i="15" s="1"/>
  <c r="K75" i="15"/>
  <c r="M75" i="15" s="1"/>
  <c r="I75" i="15"/>
  <c r="H75" i="15"/>
  <c r="K74" i="15"/>
  <c r="M74" i="15" s="1"/>
  <c r="I74" i="15"/>
  <c r="H74" i="15"/>
  <c r="K73" i="15"/>
  <c r="M73" i="15" s="1"/>
  <c r="H73" i="15"/>
  <c r="I73" i="15" s="1"/>
  <c r="M72" i="15"/>
  <c r="K72" i="15"/>
  <c r="H72" i="15"/>
  <c r="I72" i="15" s="1"/>
  <c r="K71" i="15"/>
  <c r="M71" i="15" s="1"/>
  <c r="H71" i="15"/>
  <c r="I71" i="15" s="1"/>
  <c r="M70" i="15"/>
  <c r="K70" i="15"/>
  <c r="H70" i="15"/>
  <c r="I70" i="15" s="1"/>
  <c r="K69" i="15"/>
  <c r="M69" i="15" s="1"/>
  <c r="I69" i="15"/>
  <c r="H69" i="15"/>
  <c r="K68" i="15"/>
  <c r="M68" i="15" s="1"/>
  <c r="I68" i="15"/>
  <c r="H68" i="15"/>
  <c r="K67" i="15"/>
  <c r="M67" i="15" s="1"/>
  <c r="H67" i="15"/>
  <c r="I67" i="15" s="1"/>
  <c r="K66" i="15"/>
  <c r="M66" i="15" s="1"/>
  <c r="I66" i="15"/>
  <c r="H66" i="15"/>
  <c r="K65" i="15"/>
  <c r="M65" i="15" s="1"/>
  <c r="I65" i="15"/>
  <c r="H65" i="15"/>
  <c r="M64" i="15"/>
  <c r="K64" i="15"/>
  <c r="H64" i="15"/>
  <c r="I64" i="15" s="1"/>
  <c r="K63" i="15"/>
  <c r="M63" i="15" s="1"/>
  <c r="H63" i="15"/>
  <c r="I63" i="15" s="1"/>
  <c r="M62" i="15"/>
  <c r="K62" i="15"/>
  <c r="I62" i="15"/>
  <c r="H62" i="15"/>
  <c r="K61" i="15"/>
  <c r="M61" i="15" s="1"/>
  <c r="H61" i="15"/>
  <c r="I61" i="15" s="1"/>
  <c r="K60" i="15"/>
  <c r="M60" i="15" s="1"/>
  <c r="I60" i="15"/>
  <c r="H60" i="15"/>
  <c r="K59" i="15"/>
  <c r="M59" i="15" s="1"/>
  <c r="I59" i="15"/>
  <c r="H59" i="15"/>
  <c r="K58" i="15"/>
  <c r="M58" i="15" s="1"/>
  <c r="H58" i="15"/>
  <c r="I58" i="15" s="1"/>
  <c r="K57" i="15"/>
  <c r="M57" i="15" s="1"/>
  <c r="I57" i="15"/>
  <c r="H57" i="15"/>
  <c r="K56" i="15"/>
  <c r="M56" i="15" s="1"/>
  <c r="H56" i="15"/>
  <c r="I56" i="15" s="1"/>
  <c r="K55" i="15"/>
  <c r="M55" i="15" s="1"/>
  <c r="H55" i="15"/>
  <c r="I55" i="15" s="1"/>
  <c r="M54" i="15"/>
  <c r="K54" i="15"/>
  <c r="H54" i="15"/>
  <c r="I54" i="15" s="1"/>
  <c r="K53" i="15"/>
  <c r="M53" i="15" s="1"/>
  <c r="H53" i="15"/>
  <c r="I53" i="15" s="1"/>
  <c r="M52" i="15"/>
  <c r="K52" i="15"/>
  <c r="H52" i="15"/>
  <c r="I52" i="15" s="1"/>
  <c r="K51" i="15"/>
  <c r="M51" i="15" s="1"/>
  <c r="H51" i="15"/>
  <c r="I51" i="15" s="1"/>
  <c r="K50" i="15"/>
  <c r="M50" i="15" s="1"/>
  <c r="I50" i="15"/>
  <c r="H50" i="15"/>
  <c r="K49" i="15"/>
  <c r="M49" i="15" s="1"/>
  <c r="I49" i="15"/>
  <c r="H49" i="15"/>
  <c r="K48" i="15"/>
  <c r="M48" i="15" s="1"/>
  <c r="H48" i="15"/>
  <c r="I48" i="15" s="1"/>
  <c r="K47" i="15"/>
  <c r="M47" i="15" s="1"/>
  <c r="H47" i="15"/>
  <c r="I47" i="15" s="1"/>
  <c r="M46" i="15"/>
  <c r="K46" i="15"/>
  <c r="H46" i="15"/>
  <c r="I46" i="15" s="1"/>
  <c r="K45" i="15"/>
  <c r="M45" i="15" s="1"/>
  <c r="H45" i="15"/>
  <c r="I45" i="15" s="1"/>
  <c r="K44" i="15"/>
  <c r="M44" i="15" s="1"/>
  <c r="I44" i="15"/>
  <c r="H44" i="15"/>
  <c r="K43" i="15"/>
  <c r="M43" i="15" s="1"/>
  <c r="I43" i="15"/>
  <c r="H43" i="15"/>
  <c r="K42" i="15"/>
  <c r="M42" i="15" s="1"/>
  <c r="H42" i="15"/>
  <c r="I42" i="15" s="1"/>
  <c r="K41" i="15"/>
  <c r="M41" i="15" s="1"/>
  <c r="H41" i="15"/>
  <c r="I41" i="15" s="1"/>
  <c r="K40" i="15"/>
  <c r="M40" i="15" s="1"/>
  <c r="H40" i="15"/>
  <c r="I40" i="15" s="1"/>
  <c r="K39" i="15"/>
  <c r="M39" i="15" s="1"/>
  <c r="H39" i="15"/>
  <c r="I39" i="15" s="1"/>
  <c r="M38" i="15"/>
  <c r="K38" i="15"/>
  <c r="H38" i="15"/>
  <c r="I38" i="15" s="1"/>
  <c r="K37" i="15"/>
  <c r="M37" i="15" s="1"/>
  <c r="I37" i="15"/>
  <c r="H37" i="15"/>
  <c r="K36" i="15"/>
  <c r="M36" i="15" s="1"/>
  <c r="H36" i="15"/>
  <c r="I36" i="15" s="1"/>
  <c r="K35" i="15"/>
  <c r="M35" i="15" s="1"/>
  <c r="I35" i="15"/>
  <c r="H35" i="15"/>
  <c r="M34" i="15"/>
  <c r="K34" i="15"/>
  <c r="I34" i="15"/>
  <c r="H34" i="15"/>
  <c r="K33" i="15"/>
  <c r="M33" i="15" s="1"/>
  <c r="H33" i="15"/>
  <c r="I33" i="15" s="1"/>
  <c r="M32" i="15"/>
  <c r="K32" i="15"/>
  <c r="I32" i="15"/>
  <c r="H32" i="15"/>
  <c r="K31" i="15"/>
  <c r="M31" i="15" s="1"/>
  <c r="H31" i="15"/>
  <c r="I31" i="15" s="1"/>
  <c r="K30" i="15"/>
  <c r="M30" i="15" s="1"/>
  <c r="H30" i="15"/>
  <c r="I30" i="15" s="1"/>
  <c r="K29" i="15"/>
  <c r="M29" i="15" s="1"/>
  <c r="H29" i="15"/>
  <c r="I29" i="15" s="1"/>
  <c r="M28" i="15"/>
  <c r="K28" i="15"/>
  <c r="H28" i="15"/>
  <c r="I28" i="15" s="1"/>
  <c r="K27" i="15"/>
  <c r="M27" i="15" s="1"/>
  <c r="I27" i="15"/>
  <c r="H27" i="15"/>
  <c r="K26" i="15"/>
  <c r="M26" i="15" s="1"/>
  <c r="I26" i="15"/>
  <c r="H26" i="15"/>
  <c r="K25" i="15"/>
  <c r="M25" i="15" s="1"/>
  <c r="I25" i="15"/>
  <c r="H25" i="15"/>
  <c r="K24" i="15"/>
  <c r="M24" i="15" s="1"/>
  <c r="I24" i="15"/>
  <c r="H24" i="15"/>
  <c r="K23" i="15"/>
  <c r="M23" i="15" s="1"/>
  <c r="H23" i="15"/>
  <c r="I23" i="15" s="1"/>
  <c r="M22" i="15"/>
  <c r="K22" i="15"/>
  <c r="H22" i="15"/>
  <c r="I22" i="15" s="1"/>
  <c r="K21" i="15"/>
  <c r="M21" i="15" s="1"/>
  <c r="I21" i="15"/>
  <c r="H21" i="15"/>
  <c r="K20" i="15"/>
  <c r="M20" i="15" s="1"/>
  <c r="H20" i="15"/>
  <c r="I20" i="15" s="1"/>
  <c r="K19" i="15"/>
  <c r="M19" i="15" s="1"/>
  <c r="I19" i="15"/>
  <c r="H19" i="15"/>
  <c r="K18" i="15"/>
  <c r="M18" i="15" s="1"/>
  <c r="I18" i="15"/>
  <c r="H18" i="15"/>
  <c r="K17" i="15"/>
  <c r="M17" i="15" s="1"/>
  <c r="H17" i="15"/>
  <c r="I17" i="15" s="1"/>
  <c r="M16" i="15"/>
  <c r="K16" i="15"/>
  <c r="I16" i="15"/>
  <c r="H16" i="15"/>
  <c r="K15" i="15"/>
  <c r="M15" i="15" s="1"/>
  <c r="H15" i="15"/>
  <c r="I15" i="15" s="1"/>
  <c r="K14" i="15"/>
  <c r="M14" i="15" s="1"/>
  <c r="I14" i="15"/>
  <c r="H14" i="15"/>
  <c r="K13" i="15"/>
  <c r="M13" i="15" s="1"/>
  <c r="H13" i="15"/>
  <c r="I13" i="15" s="1"/>
  <c r="K12" i="15"/>
  <c r="M12" i="15" s="1"/>
  <c r="H12" i="15"/>
  <c r="I12" i="15" s="1"/>
  <c r="K11" i="15"/>
  <c r="M11" i="15" s="1"/>
  <c r="I11" i="15"/>
  <c r="H11" i="15"/>
  <c r="K10" i="15"/>
  <c r="M10" i="15" s="1"/>
  <c r="H10" i="15"/>
  <c r="I10" i="15" s="1"/>
  <c r="K9" i="15"/>
  <c r="M9" i="15" s="1"/>
  <c r="H9" i="15"/>
  <c r="I9" i="15" s="1"/>
  <c r="K8" i="15"/>
  <c r="M8" i="15" s="1"/>
  <c r="I8" i="15"/>
  <c r="H8" i="15"/>
  <c r="K7" i="15"/>
  <c r="M7" i="15" s="1"/>
  <c r="I7" i="15"/>
  <c r="H7" i="15"/>
  <c r="M6" i="15"/>
  <c r="K6" i="15"/>
  <c r="H6" i="15"/>
  <c r="I6" i="15" s="1"/>
  <c r="K5" i="15"/>
  <c r="M5" i="15" s="1"/>
  <c r="H5" i="15"/>
  <c r="I5" i="15" s="1"/>
  <c r="M4" i="15"/>
  <c r="K4" i="15"/>
  <c r="I4" i="15"/>
  <c r="H4" i="15"/>
  <c r="K3" i="15"/>
  <c r="M3" i="15" s="1"/>
  <c r="I3" i="15"/>
  <c r="H3" i="15"/>
  <c r="K2" i="15"/>
  <c r="M2" i="15" s="1"/>
  <c r="I2" i="15"/>
  <c r="H2" i="15"/>
  <c r="J2" i="13"/>
  <c r="L2" i="13" s="1"/>
  <c r="G2" i="13"/>
  <c r="H2" i="13" s="1"/>
  <c r="J2" i="12"/>
  <c r="L2" i="12" s="1"/>
  <c r="G2" i="12"/>
  <c r="H2" i="12" s="1"/>
  <c r="J73" i="11"/>
  <c r="L73" i="11" s="1"/>
  <c r="G73" i="11"/>
  <c r="H73" i="11" s="1"/>
  <c r="L72" i="11"/>
  <c r="J72" i="11"/>
  <c r="G72" i="11"/>
  <c r="H72" i="11" s="1"/>
  <c r="J71" i="11"/>
  <c r="L71" i="11" s="1"/>
  <c r="G71" i="11"/>
  <c r="H71" i="11" s="1"/>
  <c r="J70" i="11"/>
  <c r="L70" i="11" s="1"/>
  <c r="G70" i="11"/>
  <c r="H70" i="11" s="1"/>
  <c r="J69" i="11"/>
  <c r="L69" i="11" s="1"/>
  <c r="H69" i="11"/>
  <c r="G69" i="11"/>
  <c r="J68" i="11"/>
  <c r="L68" i="11" s="1"/>
  <c r="G68" i="11"/>
  <c r="H68" i="11" s="1"/>
  <c r="J67" i="11"/>
  <c r="L67" i="11" s="1"/>
  <c r="H67" i="11"/>
  <c r="G67" i="11"/>
  <c r="J66" i="11"/>
  <c r="L66" i="11" s="1"/>
  <c r="H66" i="11"/>
  <c r="G66" i="11"/>
  <c r="J65" i="11"/>
  <c r="L65" i="11" s="1"/>
  <c r="G65" i="11"/>
  <c r="H65" i="11" s="1"/>
  <c r="L64" i="11"/>
  <c r="J64" i="11"/>
  <c r="G64" i="11"/>
  <c r="H64" i="11" s="1"/>
  <c r="L63" i="11"/>
  <c r="J63" i="11"/>
  <c r="G63" i="11"/>
  <c r="H63" i="11" s="1"/>
  <c r="L62" i="11"/>
  <c r="J62" i="11"/>
  <c r="G62" i="11"/>
  <c r="H62" i="11" s="1"/>
  <c r="J61" i="11"/>
  <c r="L61" i="11" s="1"/>
  <c r="H61" i="11"/>
  <c r="G61" i="11"/>
  <c r="L60" i="11"/>
  <c r="J60" i="11"/>
  <c r="G60" i="11"/>
  <c r="H60" i="11" s="1"/>
  <c r="J59" i="11"/>
  <c r="L59" i="11" s="1"/>
  <c r="G59" i="11"/>
  <c r="H59" i="11" s="1"/>
  <c r="L58" i="11"/>
  <c r="J58" i="11"/>
  <c r="G58" i="11"/>
  <c r="H58" i="11" s="1"/>
  <c r="L57" i="11"/>
  <c r="J57" i="11"/>
  <c r="G57" i="11"/>
  <c r="H57" i="11" s="1"/>
  <c r="L56" i="11"/>
  <c r="J56" i="11"/>
  <c r="G56" i="11"/>
  <c r="H56" i="11" s="1"/>
  <c r="L55" i="11"/>
  <c r="J55" i="11"/>
  <c r="G55" i="11"/>
  <c r="H55" i="11" s="1"/>
  <c r="L54" i="11"/>
  <c r="J54" i="11"/>
  <c r="G54" i="11"/>
  <c r="H54" i="11" s="1"/>
  <c r="J53" i="11"/>
  <c r="L53" i="11" s="1"/>
  <c r="H53" i="11"/>
  <c r="G53" i="11"/>
  <c r="L52" i="11"/>
  <c r="J52" i="11"/>
  <c r="G52" i="11"/>
  <c r="H52" i="11" s="1"/>
  <c r="J51" i="11"/>
  <c r="L51" i="11" s="1"/>
  <c r="H51" i="11"/>
  <c r="G51" i="11"/>
  <c r="L50" i="11"/>
  <c r="J50" i="11"/>
  <c r="G50" i="11"/>
  <c r="H50" i="11" s="1"/>
  <c r="L49" i="11"/>
  <c r="J49" i="11"/>
  <c r="G49" i="11"/>
  <c r="H49" i="11" s="1"/>
  <c r="L48" i="11"/>
  <c r="J48" i="11"/>
  <c r="G48" i="11"/>
  <c r="H48" i="11" s="1"/>
  <c r="L47" i="11"/>
  <c r="J47" i="11"/>
  <c r="G47" i="11"/>
  <c r="H47" i="11" s="1"/>
  <c r="L46" i="11"/>
  <c r="J46" i="11"/>
  <c r="G46" i="11"/>
  <c r="H46" i="11" s="1"/>
  <c r="J45" i="11"/>
  <c r="L45" i="11" s="1"/>
  <c r="G45" i="11"/>
  <c r="H45" i="11" s="1"/>
  <c r="L44" i="11"/>
  <c r="J44" i="11"/>
  <c r="G44" i="11"/>
  <c r="H44" i="11" s="1"/>
  <c r="J43" i="11"/>
  <c r="L43" i="11" s="1"/>
  <c r="H43" i="11"/>
  <c r="G43" i="11"/>
  <c r="L42" i="11"/>
  <c r="J42" i="11"/>
  <c r="G42" i="11"/>
  <c r="H42" i="11" s="1"/>
  <c r="L41" i="11"/>
  <c r="J41" i="11"/>
  <c r="G41" i="11"/>
  <c r="H41" i="11" s="1"/>
  <c r="L40" i="11"/>
  <c r="J40" i="11"/>
  <c r="G40" i="11"/>
  <c r="H40" i="11" s="1"/>
  <c r="L39" i="11"/>
  <c r="J39" i="11"/>
  <c r="G39" i="11"/>
  <c r="H39" i="11" s="1"/>
  <c r="L38" i="11"/>
  <c r="J38" i="11"/>
  <c r="G38" i="11"/>
  <c r="H38" i="11" s="1"/>
  <c r="J37" i="11"/>
  <c r="L37" i="11" s="1"/>
  <c r="H37" i="11"/>
  <c r="G37" i="11"/>
  <c r="L36" i="11"/>
  <c r="J36" i="11"/>
  <c r="G36" i="11"/>
  <c r="H36" i="11" s="1"/>
  <c r="L35" i="11"/>
  <c r="J35" i="11"/>
  <c r="G35" i="11"/>
  <c r="H35" i="11" s="1"/>
  <c r="L34" i="11"/>
  <c r="J34" i="11"/>
  <c r="G34" i="11"/>
  <c r="H34" i="11" s="1"/>
  <c r="J33" i="11"/>
  <c r="L33" i="11" s="1"/>
  <c r="G33" i="11"/>
  <c r="H33" i="11" s="1"/>
  <c r="L32" i="11"/>
  <c r="J32" i="11"/>
  <c r="G32" i="11"/>
  <c r="H32" i="11" s="1"/>
  <c r="J31" i="11"/>
  <c r="L31" i="11" s="1"/>
  <c r="G31" i="11"/>
  <c r="H31" i="11" s="1"/>
  <c r="L30" i="11"/>
  <c r="J30" i="11"/>
  <c r="G30" i="11"/>
  <c r="H30" i="11" s="1"/>
  <c r="J29" i="11"/>
  <c r="L29" i="11" s="1"/>
  <c r="G29" i="11"/>
  <c r="H29" i="11" s="1"/>
  <c r="L28" i="11"/>
  <c r="J28" i="11"/>
  <c r="G28" i="11"/>
  <c r="H28" i="11" s="1"/>
  <c r="J27" i="11"/>
  <c r="L27" i="11" s="1"/>
  <c r="G27" i="11"/>
  <c r="H27" i="11" s="1"/>
  <c r="L26" i="11"/>
  <c r="J26" i="11"/>
  <c r="G26" i="11"/>
  <c r="H26" i="11" s="1"/>
  <c r="L25" i="11"/>
  <c r="J25" i="11"/>
  <c r="G25" i="11"/>
  <c r="H25" i="11" s="1"/>
  <c r="L24" i="11"/>
  <c r="J24" i="11"/>
  <c r="G24" i="11"/>
  <c r="H24" i="11" s="1"/>
  <c r="J23" i="11"/>
  <c r="L23" i="11" s="1"/>
  <c r="G23" i="11"/>
  <c r="H23" i="11" s="1"/>
  <c r="L22" i="11"/>
  <c r="J22" i="11"/>
  <c r="G22" i="11"/>
  <c r="H22" i="11" s="1"/>
  <c r="J21" i="11"/>
  <c r="L21" i="11" s="1"/>
  <c r="H21" i="11"/>
  <c r="G21" i="11"/>
  <c r="L20" i="11"/>
  <c r="J20" i="11"/>
  <c r="G20" i="11"/>
  <c r="H20" i="11" s="1"/>
  <c r="J19" i="11"/>
  <c r="L19" i="11" s="1"/>
  <c r="H19" i="11"/>
  <c r="G19" i="11"/>
  <c r="L18" i="11"/>
  <c r="J18" i="11"/>
  <c r="G18" i="11"/>
  <c r="H18" i="11" s="1"/>
  <c r="L17" i="11"/>
  <c r="J17" i="11"/>
  <c r="G17" i="11"/>
  <c r="H17" i="11" s="1"/>
  <c r="L16" i="11"/>
  <c r="J16" i="11"/>
  <c r="G16" i="11"/>
  <c r="H16" i="11" s="1"/>
  <c r="J15" i="11"/>
  <c r="L15" i="11" s="1"/>
  <c r="G15" i="11"/>
  <c r="H15" i="11" s="1"/>
  <c r="L14" i="11"/>
  <c r="J14" i="11"/>
  <c r="G14" i="11"/>
  <c r="H14" i="11" s="1"/>
  <c r="J13" i="11"/>
  <c r="L13" i="11" s="1"/>
  <c r="G13" i="11"/>
  <c r="H13" i="11" s="1"/>
  <c r="L12" i="11"/>
  <c r="J12" i="11"/>
  <c r="G12" i="11"/>
  <c r="H12" i="11" s="1"/>
  <c r="J11" i="11"/>
  <c r="L11" i="11" s="1"/>
  <c r="H11" i="11"/>
  <c r="G11" i="11"/>
  <c r="L10" i="11"/>
  <c r="J10" i="11"/>
  <c r="G10" i="11"/>
  <c r="H10" i="11" s="1"/>
  <c r="L9" i="11"/>
  <c r="J9" i="11"/>
  <c r="G9" i="11"/>
  <c r="H9" i="11" s="1"/>
  <c r="L8" i="11"/>
  <c r="J8" i="11"/>
  <c r="G8" i="11"/>
  <c r="H8" i="11" s="1"/>
  <c r="L7" i="11"/>
  <c r="J7" i="11"/>
  <c r="G7" i="11"/>
  <c r="H7" i="11" s="1"/>
  <c r="L6" i="11"/>
  <c r="J6" i="11"/>
  <c r="G6" i="11"/>
  <c r="H6" i="11" s="1"/>
  <c r="J5" i="11"/>
  <c r="L5" i="11" s="1"/>
  <c r="H5" i="11"/>
  <c r="G5" i="11"/>
  <c r="L4" i="11"/>
  <c r="J4" i="11"/>
  <c r="G4" i="11"/>
  <c r="H4" i="11" s="1"/>
  <c r="L3" i="11"/>
  <c r="J3" i="11"/>
  <c r="G3" i="11"/>
  <c r="H3" i="11" s="1"/>
  <c r="L2" i="11"/>
  <c r="J2" i="11"/>
  <c r="G2" i="11"/>
  <c r="H2" i="11" s="1"/>
  <c r="R18" i="10"/>
  <c r="N18" i="10"/>
  <c r="O18" i="10" s="1"/>
  <c r="L18" i="10"/>
  <c r="J18" i="10"/>
  <c r="H18" i="10"/>
  <c r="G18" i="10"/>
  <c r="R17" i="10"/>
  <c r="O17" i="10"/>
  <c r="P17" i="10" s="1"/>
  <c r="N17" i="10"/>
  <c r="J17" i="10"/>
  <c r="L17" i="10" s="1"/>
  <c r="G17" i="10"/>
  <c r="R16" i="10"/>
  <c r="P16" i="10"/>
  <c r="O16" i="10"/>
  <c r="N16" i="10"/>
  <c r="J16" i="10"/>
  <c r="L16" i="10" s="1"/>
  <c r="G16" i="10"/>
  <c r="S16" i="10" s="1"/>
  <c r="S15" i="10"/>
  <c r="N15" i="10"/>
  <c r="O15" i="10" s="1"/>
  <c r="P15" i="10" s="1"/>
  <c r="J15" i="10"/>
  <c r="L15" i="10" s="1"/>
  <c r="G15" i="10"/>
  <c r="H15" i="10" s="1"/>
  <c r="N14" i="10"/>
  <c r="R14" i="10" s="1"/>
  <c r="L14" i="10"/>
  <c r="J14" i="10"/>
  <c r="G14" i="10"/>
  <c r="H14" i="10" s="1"/>
  <c r="N13" i="10"/>
  <c r="J13" i="10"/>
  <c r="L13" i="10" s="1"/>
  <c r="H13" i="10"/>
  <c r="G13" i="10"/>
  <c r="R12" i="10"/>
  <c r="N12" i="10"/>
  <c r="O12" i="10" s="1"/>
  <c r="J12" i="10"/>
  <c r="L12" i="10" s="1"/>
  <c r="H12" i="10"/>
  <c r="G12" i="10"/>
  <c r="N11" i="10"/>
  <c r="R11" i="10" s="1"/>
  <c r="L11" i="10"/>
  <c r="J11" i="10"/>
  <c r="G11" i="10"/>
  <c r="H11" i="10" s="1"/>
  <c r="N10" i="10"/>
  <c r="R10" i="10" s="1"/>
  <c r="L10" i="10"/>
  <c r="J10" i="10"/>
  <c r="G10" i="10"/>
  <c r="H10" i="10" s="1"/>
  <c r="R9" i="10"/>
  <c r="O9" i="10"/>
  <c r="N9" i="10"/>
  <c r="J9" i="10"/>
  <c r="L9" i="10" s="1"/>
  <c r="G9" i="10"/>
  <c r="H9" i="10" s="1"/>
  <c r="S8" i="10"/>
  <c r="R8" i="10"/>
  <c r="P8" i="10"/>
  <c r="O8" i="10"/>
  <c r="N8" i="10"/>
  <c r="J8" i="10"/>
  <c r="L8" i="10" s="1"/>
  <c r="G8" i="10"/>
  <c r="H8" i="10" s="1"/>
  <c r="S7" i="10"/>
  <c r="R7" i="10"/>
  <c r="N7" i="10"/>
  <c r="O7" i="10" s="1"/>
  <c r="P7" i="10" s="1"/>
  <c r="L7" i="10"/>
  <c r="J7" i="10"/>
  <c r="G7" i="10"/>
  <c r="H7" i="10" s="1"/>
  <c r="N6" i="10"/>
  <c r="R6" i="10" s="1"/>
  <c r="L6" i="10"/>
  <c r="J6" i="10"/>
  <c r="G6" i="10"/>
  <c r="H6" i="10" s="1"/>
  <c r="N5" i="10"/>
  <c r="J5" i="10"/>
  <c r="L5" i="10" s="1"/>
  <c r="H5" i="10"/>
  <c r="G5" i="10"/>
  <c r="N4" i="10"/>
  <c r="J4" i="10"/>
  <c r="L4" i="10" s="1"/>
  <c r="H4" i="10"/>
  <c r="G4" i="10"/>
  <c r="N3" i="10"/>
  <c r="R3" i="10" s="1"/>
  <c r="L3" i="10"/>
  <c r="J3" i="10"/>
  <c r="G3" i="10"/>
  <c r="H3" i="10" s="1"/>
  <c r="N2" i="10"/>
  <c r="O2" i="10" s="1"/>
  <c r="L2" i="10"/>
  <c r="J2" i="10"/>
  <c r="G2" i="10"/>
  <c r="H2" i="10" s="1"/>
  <c r="AD123" i="9"/>
  <c r="AC123" i="9"/>
  <c r="Z123" i="9"/>
  <c r="AA123" i="9" s="1"/>
  <c r="Y123" i="9"/>
  <c r="R123" i="9"/>
  <c r="N123" i="9"/>
  <c r="P123" i="9" s="1"/>
  <c r="L123" i="9"/>
  <c r="K123" i="9"/>
  <c r="Z122" i="9"/>
  <c r="Y122" i="9"/>
  <c r="AC122" i="9" s="1"/>
  <c r="V122" i="9"/>
  <c r="R122" i="9"/>
  <c r="S122" i="9" s="1"/>
  <c r="N122" i="9"/>
  <c r="P122" i="9" s="1"/>
  <c r="K122" i="9"/>
  <c r="L122" i="9" s="1"/>
  <c r="Y121" i="9"/>
  <c r="AC121" i="9" s="1"/>
  <c r="V121" i="9"/>
  <c r="S121" i="9"/>
  <c r="W121" i="9" s="1"/>
  <c r="R121" i="9"/>
  <c r="N121" i="9"/>
  <c r="P121" i="9" s="1"/>
  <c r="L121" i="9"/>
  <c r="K121" i="9"/>
  <c r="AC120" i="9"/>
  <c r="Y120" i="9"/>
  <c r="Z120" i="9" s="1"/>
  <c r="V120" i="9"/>
  <c r="T120" i="9"/>
  <c r="R120" i="9"/>
  <c r="S120" i="9" s="1"/>
  <c r="W120" i="9" s="1"/>
  <c r="P120" i="9"/>
  <c r="N120" i="9"/>
  <c r="K120" i="9"/>
  <c r="L120" i="9" s="1"/>
  <c r="Y119" i="9"/>
  <c r="Z119" i="9" s="1"/>
  <c r="AA119" i="9" s="1"/>
  <c r="V119" i="9"/>
  <c r="S119" i="9"/>
  <c r="W119" i="9" s="1"/>
  <c r="R119" i="9"/>
  <c r="P119" i="9"/>
  <c r="N119" i="9"/>
  <c r="L119" i="9"/>
  <c r="K119" i="9"/>
  <c r="AC118" i="9"/>
  <c r="Y118" i="9"/>
  <c r="Z118" i="9" s="1"/>
  <c r="AD118" i="9" s="1"/>
  <c r="S118" i="9"/>
  <c r="R118" i="9"/>
  <c r="V118" i="9" s="1"/>
  <c r="N118" i="9"/>
  <c r="P118" i="9" s="1"/>
  <c r="K118" i="9"/>
  <c r="L118" i="9" s="1"/>
  <c r="Y117" i="9"/>
  <c r="AC117" i="9" s="1"/>
  <c r="W117" i="9"/>
  <c r="V117" i="9"/>
  <c r="S117" i="9"/>
  <c r="T117" i="9" s="1"/>
  <c r="R117" i="9"/>
  <c r="N117" i="9"/>
  <c r="P117" i="9" s="1"/>
  <c r="K117" i="9"/>
  <c r="L117" i="9" s="1"/>
  <c r="AD116" i="9"/>
  <c r="AC116" i="9"/>
  <c r="AA116" i="9"/>
  <c r="Y116" i="9"/>
  <c r="Z116" i="9" s="1"/>
  <c r="V116" i="9"/>
  <c r="R116" i="9"/>
  <c r="S116" i="9" s="1"/>
  <c r="P116" i="9"/>
  <c r="N116" i="9"/>
  <c r="K116" i="9"/>
  <c r="L116" i="9" s="1"/>
  <c r="AD115" i="9"/>
  <c r="AC115" i="9"/>
  <c r="Y115" i="9"/>
  <c r="Z115" i="9" s="1"/>
  <c r="AA115" i="9" s="1"/>
  <c r="V115" i="9"/>
  <c r="R115" i="9"/>
  <c r="S115" i="9" s="1"/>
  <c r="N115" i="9"/>
  <c r="P115" i="9" s="1"/>
  <c r="L115" i="9"/>
  <c r="K115" i="9"/>
  <c r="Y114" i="9"/>
  <c r="V114" i="9"/>
  <c r="S114" i="9"/>
  <c r="W114" i="9" s="1"/>
  <c r="R114" i="9"/>
  <c r="N114" i="9"/>
  <c r="P114" i="9" s="1"/>
  <c r="K114" i="9"/>
  <c r="L114" i="9" s="1"/>
  <c r="AC113" i="9"/>
  <c r="AA113" i="9"/>
  <c r="Y113" i="9"/>
  <c r="Z113" i="9" s="1"/>
  <c r="AD113" i="9" s="1"/>
  <c r="S113" i="9"/>
  <c r="T113" i="9" s="1"/>
  <c r="R113" i="9"/>
  <c r="V113" i="9" s="1"/>
  <c r="P113" i="9"/>
  <c r="N113" i="9"/>
  <c r="K113" i="9"/>
  <c r="L113" i="9" s="1"/>
  <c r="AD112" i="9"/>
  <c r="Z112" i="9"/>
  <c r="AA112" i="9" s="1"/>
  <c r="Y112" i="9"/>
  <c r="AC112" i="9" s="1"/>
  <c r="T112" i="9"/>
  <c r="S112" i="9"/>
  <c r="W112" i="9" s="1"/>
  <c r="R112" i="9"/>
  <c r="V112" i="9" s="1"/>
  <c r="P112" i="9"/>
  <c r="N112" i="9"/>
  <c r="L112" i="9"/>
  <c r="K112" i="9"/>
  <c r="AC111" i="9"/>
  <c r="AA111" i="9"/>
  <c r="Z111" i="9"/>
  <c r="Y111" i="9"/>
  <c r="R111" i="9"/>
  <c r="S111" i="9" s="1"/>
  <c r="T111" i="9" s="1"/>
  <c r="N111" i="9"/>
  <c r="P111" i="9" s="1"/>
  <c r="L111" i="9"/>
  <c r="K111" i="9"/>
  <c r="W111" i="9" s="1"/>
  <c r="AD110" i="9"/>
  <c r="Z110" i="9"/>
  <c r="AA110" i="9" s="1"/>
  <c r="Y110" i="9"/>
  <c r="AC110" i="9" s="1"/>
  <c r="V110" i="9"/>
  <c r="S110" i="9"/>
  <c r="W110" i="9" s="1"/>
  <c r="R110" i="9"/>
  <c r="N110" i="9"/>
  <c r="P110" i="9" s="1"/>
  <c r="L110" i="9"/>
  <c r="K110" i="9"/>
  <c r="AC109" i="9"/>
  <c r="Y109" i="9"/>
  <c r="Z109" i="9" s="1"/>
  <c r="W109" i="9"/>
  <c r="V109" i="9"/>
  <c r="T109" i="9"/>
  <c r="R109" i="9"/>
  <c r="S109" i="9" s="1"/>
  <c r="P109" i="9"/>
  <c r="N109" i="9"/>
  <c r="K109" i="9"/>
  <c r="L109" i="9" s="1"/>
  <c r="AC108" i="9"/>
  <c r="Y108" i="9"/>
  <c r="Z108" i="9" s="1"/>
  <c r="AD108" i="9" s="1"/>
  <c r="R108" i="9"/>
  <c r="V108" i="9" s="1"/>
  <c r="N108" i="9"/>
  <c r="P108" i="9" s="1"/>
  <c r="L108" i="9"/>
  <c r="K108" i="9"/>
  <c r="Z107" i="9"/>
  <c r="Y107" i="9"/>
  <c r="AC107" i="9" s="1"/>
  <c r="R107" i="9"/>
  <c r="N107" i="9"/>
  <c r="P107" i="9" s="1"/>
  <c r="K107" i="9"/>
  <c r="L107" i="9" s="1"/>
  <c r="Y106" i="9"/>
  <c r="AC106" i="9" s="1"/>
  <c r="V106" i="9"/>
  <c r="S106" i="9"/>
  <c r="R106" i="9"/>
  <c r="N106" i="9"/>
  <c r="P106" i="9" s="1"/>
  <c r="L106" i="9"/>
  <c r="K106" i="9"/>
  <c r="AC105" i="9"/>
  <c r="Y105" i="9"/>
  <c r="Z105" i="9" s="1"/>
  <c r="V105" i="9"/>
  <c r="S105" i="9"/>
  <c r="W105" i="9" s="1"/>
  <c r="R105" i="9"/>
  <c r="P105" i="9"/>
  <c r="N105" i="9"/>
  <c r="K105" i="9"/>
  <c r="L105" i="9" s="1"/>
  <c r="AC104" i="9"/>
  <c r="Z104" i="9"/>
  <c r="AD104" i="9" s="1"/>
  <c r="Y104" i="9"/>
  <c r="R104" i="9"/>
  <c r="N104" i="9"/>
  <c r="P104" i="9" s="1"/>
  <c r="L104" i="9"/>
  <c r="K104" i="9"/>
  <c r="Y103" i="9"/>
  <c r="R103" i="9"/>
  <c r="S103" i="9" s="1"/>
  <c r="T103" i="9" s="1"/>
  <c r="N103" i="9"/>
  <c r="P103" i="9" s="1"/>
  <c r="K103" i="9"/>
  <c r="L103" i="9" s="1"/>
  <c r="AD102" i="9"/>
  <c r="Z102" i="9"/>
  <c r="AA102" i="9" s="1"/>
  <c r="Y102" i="9"/>
  <c r="AC102" i="9" s="1"/>
  <c r="W102" i="9"/>
  <c r="V102" i="9"/>
  <c r="T102" i="9"/>
  <c r="S102" i="9"/>
  <c r="R102" i="9"/>
  <c r="N102" i="9"/>
  <c r="P102" i="9" s="1"/>
  <c r="L102" i="9"/>
  <c r="K102" i="9"/>
  <c r="AD101" i="9"/>
  <c r="AC101" i="9"/>
  <c r="AA101" i="9"/>
  <c r="Y101" i="9"/>
  <c r="Z101" i="9" s="1"/>
  <c r="V101" i="9"/>
  <c r="T101" i="9"/>
  <c r="S101" i="9"/>
  <c r="W101" i="9" s="1"/>
  <c r="R101" i="9"/>
  <c r="P101" i="9"/>
  <c r="N101" i="9"/>
  <c r="K101" i="9"/>
  <c r="L101" i="9" s="1"/>
  <c r="Y100" i="9"/>
  <c r="AC100" i="9" s="1"/>
  <c r="S100" i="9"/>
  <c r="W100" i="9" s="1"/>
  <c r="R100" i="9"/>
  <c r="V100" i="9" s="1"/>
  <c r="N100" i="9"/>
  <c r="P100" i="9" s="1"/>
  <c r="L100" i="9"/>
  <c r="K100" i="9"/>
  <c r="AC99" i="9"/>
  <c r="AA99" i="9"/>
  <c r="Z99" i="9"/>
  <c r="Y99" i="9"/>
  <c r="R99" i="9"/>
  <c r="P99" i="9"/>
  <c r="N99" i="9"/>
  <c r="K99" i="9"/>
  <c r="L99" i="9" s="1"/>
  <c r="Y98" i="9"/>
  <c r="V98" i="9"/>
  <c r="S98" i="9"/>
  <c r="W98" i="9" s="1"/>
  <c r="R98" i="9"/>
  <c r="N98" i="9"/>
  <c r="P98" i="9" s="1"/>
  <c r="K98" i="9"/>
  <c r="L98" i="9" s="1"/>
  <c r="AC97" i="9"/>
  <c r="Y97" i="9"/>
  <c r="Z97" i="9" s="1"/>
  <c r="R97" i="9"/>
  <c r="V97" i="9" s="1"/>
  <c r="P97" i="9"/>
  <c r="N97" i="9"/>
  <c r="K97" i="9"/>
  <c r="L97" i="9" s="1"/>
  <c r="Y96" i="9"/>
  <c r="R96" i="9"/>
  <c r="V96" i="9" s="1"/>
  <c r="P96" i="9"/>
  <c r="N96" i="9"/>
  <c r="L96" i="9"/>
  <c r="K96" i="9"/>
  <c r="Y95" i="9"/>
  <c r="Z95" i="9" s="1"/>
  <c r="R95" i="9"/>
  <c r="S95" i="9" s="1"/>
  <c r="T95" i="9" s="1"/>
  <c r="N95" i="9"/>
  <c r="P95" i="9" s="1"/>
  <c r="K95" i="9"/>
  <c r="Z94" i="9"/>
  <c r="Y94" i="9"/>
  <c r="AC94" i="9" s="1"/>
  <c r="V94" i="9"/>
  <c r="S94" i="9"/>
  <c r="W94" i="9" s="1"/>
  <c r="R94" i="9"/>
  <c r="N94" i="9"/>
  <c r="P94" i="9" s="1"/>
  <c r="L94" i="9"/>
  <c r="K94" i="9"/>
  <c r="AC93" i="9"/>
  <c r="Y93" i="9"/>
  <c r="Z93" i="9" s="1"/>
  <c r="V93" i="9"/>
  <c r="R93" i="9"/>
  <c r="S93" i="9" s="1"/>
  <c r="P93" i="9"/>
  <c r="N93" i="9"/>
  <c r="K93" i="9"/>
  <c r="L93" i="9" s="1"/>
  <c r="AD92" i="9"/>
  <c r="AC92" i="9"/>
  <c r="Y92" i="9"/>
  <c r="Z92" i="9" s="1"/>
  <c r="AA92" i="9" s="1"/>
  <c r="S92" i="9"/>
  <c r="W92" i="9" s="1"/>
  <c r="R92" i="9"/>
  <c r="V92" i="9" s="1"/>
  <c r="N92" i="9"/>
  <c r="P92" i="9" s="1"/>
  <c r="L92" i="9"/>
  <c r="K92" i="9"/>
  <c r="Y91" i="9"/>
  <c r="R91" i="9"/>
  <c r="N91" i="9"/>
  <c r="P91" i="9" s="1"/>
  <c r="K91" i="9"/>
  <c r="L91" i="9" s="1"/>
  <c r="Z90" i="9"/>
  <c r="AA90" i="9" s="1"/>
  <c r="Y90" i="9"/>
  <c r="AC90" i="9" s="1"/>
  <c r="V90" i="9"/>
  <c r="S90" i="9"/>
  <c r="R90" i="9"/>
  <c r="N90" i="9"/>
  <c r="P90" i="9" s="1"/>
  <c r="L90" i="9"/>
  <c r="K90" i="9"/>
  <c r="AC89" i="9"/>
  <c r="AA89" i="9"/>
  <c r="Z89" i="9"/>
  <c r="Y89" i="9"/>
  <c r="W89" i="9"/>
  <c r="V89" i="9"/>
  <c r="T89" i="9"/>
  <c r="S89" i="9"/>
  <c r="R89" i="9"/>
  <c r="P89" i="9"/>
  <c r="N89" i="9"/>
  <c r="K89" i="9"/>
  <c r="AD88" i="9"/>
  <c r="AC88" i="9"/>
  <c r="AA88" i="9"/>
  <c r="Z88" i="9"/>
  <c r="Y88" i="9"/>
  <c r="R88" i="9"/>
  <c r="N88" i="9"/>
  <c r="P88" i="9" s="1"/>
  <c r="L88" i="9"/>
  <c r="K88" i="9"/>
  <c r="Y87" i="9"/>
  <c r="AC87" i="9" s="1"/>
  <c r="R87" i="9"/>
  <c r="P87" i="9"/>
  <c r="N87" i="9"/>
  <c r="K87" i="9"/>
  <c r="L87" i="9" s="1"/>
  <c r="Y86" i="9"/>
  <c r="W86" i="9"/>
  <c r="V86" i="9"/>
  <c r="S86" i="9"/>
  <c r="T86" i="9" s="1"/>
  <c r="R86" i="9"/>
  <c r="N86" i="9"/>
  <c r="P86" i="9" s="1"/>
  <c r="K86" i="9"/>
  <c r="L86" i="9" s="1"/>
  <c r="AD85" i="9"/>
  <c r="AC85" i="9"/>
  <c r="AA85" i="9"/>
  <c r="Z85" i="9"/>
  <c r="Y85" i="9"/>
  <c r="R85" i="9"/>
  <c r="V85" i="9" s="1"/>
  <c r="P85" i="9"/>
  <c r="N85" i="9"/>
  <c r="K85" i="9"/>
  <c r="L85" i="9" s="1"/>
  <c r="Y84" i="9"/>
  <c r="R84" i="9"/>
  <c r="P84" i="9"/>
  <c r="N84" i="9"/>
  <c r="L84" i="9"/>
  <c r="K84" i="9"/>
  <c r="Y83" i="9"/>
  <c r="V83" i="9"/>
  <c r="R83" i="9"/>
  <c r="S83" i="9" s="1"/>
  <c r="N83" i="9"/>
  <c r="P83" i="9" s="1"/>
  <c r="K83" i="9"/>
  <c r="L83" i="9" s="1"/>
  <c r="Y82" i="9"/>
  <c r="AC82" i="9" s="1"/>
  <c r="W82" i="9"/>
  <c r="V82" i="9"/>
  <c r="T82" i="9"/>
  <c r="S82" i="9"/>
  <c r="R82" i="9"/>
  <c r="N82" i="9"/>
  <c r="P82" i="9" s="1"/>
  <c r="K82" i="9"/>
  <c r="L82" i="9" s="1"/>
  <c r="AD81" i="9"/>
  <c r="AC81" i="9"/>
  <c r="AA81" i="9"/>
  <c r="Z81" i="9"/>
  <c r="Y81" i="9"/>
  <c r="V81" i="9"/>
  <c r="R81" i="9"/>
  <c r="S81" i="9" s="1"/>
  <c r="P81" i="9"/>
  <c r="N81" i="9"/>
  <c r="K81" i="9"/>
  <c r="L81" i="9" s="1"/>
  <c r="AC80" i="9"/>
  <c r="AA80" i="9"/>
  <c r="Y80" i="9"/>
  <c r="Z80" i="9" s="1"/>
  <c r="AD80" i="9" s="1"/>
  <c r="R80" i="9"/>
  <c r="V80" i="9" s="1"/>
  <c r="N80" i="9"/>
  <c r="P80" i="9" s="1"/>
  <c r="L80" i="9"/>
  <c r="K80" i="9"/>
  <c r="AC79" i="9"/>
  <c r="Y79" i="9"/>
  <c r="Z79" i="9" s="1"/>
  <c r="AD79" i="9" s="1"/>
  <c r="W79" i="9"/>
  <c r="R79" i="9"/>
  <c r="S79" i="9" s="1"/>
  <c r="T79" i="9" s="1"/>
  <c r="N79" i="9"/>
  <c r="P79" i="9" s="1"/>
  <c r="L79" i="9"/>
  <c r="K79" i="9"/>
  <c r="Y78" i="9"/>
  <c r="AC78" i="9" s="1"/>
  <c r="V78" i="9"/>
  <c r="T78" i="9"/>
  <c r="S78" i="9"/>
  <c r="W78" i="9" s="1"/>
  <c r="R78" i="9"/>
  <c r="N78" i="9"/>
  <c r="P78" i="9" s="1"/>
  <c r="L78" i="9"/>
  <c r="K78" i="9"/>
  <c r="AD77" i="9"/>
  <c r="AC77" i="9"/>
  <c r="AA77" i="9"/>
  <c r="Z77" i="9"/>
  <c r="Y77" i="9"/>
  <c r="V77" i="9"/>
  <c r="T77" i="9"/>
  <c r="S77" i="9"/>
  <c r="W77" i="9" s="1"/>
  <c r="R77" i="9"/>
  <c r="P77" i="9"/>
  <c r="N77" i="9"/>
  <c r="K77" i="9"/>
  <c r="L77" i="9" s="1"/>
  <c r="AC76" i="9"/>
  <c r="AA76" i="9"/>
  <c r="Z76" i="9"/>
  <c r="AD76" i="9" s="1"/>
  <c r="Y76" i="9"/>
  <c r="S76" i="9"/>
  <c r="W76" i="9" s="1"/>
  <c r="R76" i="9"/>
  <c r="V76" i="9" s="1"/>
  <c r="N76" i="9"/>
  <c r="P76" i="9" s="1"/>
  <c r="L76" i="9"/>
  <c r="K76" i="9"/>
  <c r="AC75" i="9"/>
  <c r="AA75" i="9"/>
  <c r="Z75" i="9"/>
  <c r="Y75" i="9"/>
  <c r="R75" i="9"/>
  <c r="P75" i="9"/>
  <c r="N75" i="9"/>
  <c r="K75" i="9"/>
  <c r="L75" i="9" s="1"/>
  <c r="Y74" i="9"/>
  <c r="V74" i="9"/>
  <c r="S74" i="9"/>
  <c r="R74" i="9"/>
  <c r="N74" i="9"/>
  <c r="P74" i="9" s="1"/>
  <c r="K74" i="9"/>
  <c r="L74" i="9" s="1"/>
  <c r="AC73" i="9"/>
  <c r="AA73" i="9"/>
  <c r="Z73" i="9"/>
  <c r="Y73" i="9"/>
  <c r="R73" i="9"/>
  <c r="V73" i="9" s="1"/>
  <c r="P73" i="9"/>
  <c r="N73" i="9"/>
  <c r="K73" i="9"/>
  <c r="Y72" i="9"/>
  <c r="S72" i="9"/>
  <c r="W72" i="9" s="1"/>
  <c r="R72" i="9"/>
  <c r="V72" i="9" s="1"/>
  <c r="N72" i="9"/>
  <c r="P72" i="9" s="1"/>
  <c r="L72" i="9"/>
  <c r="K72" i="9"/>
  <c r="Y71" i="9"/>
  <c r="AC71" i="9" s="1"/>
  <c r="R71" i="9"/>
  <c r="N71" i="9"/>
  <c r="P71" i="9" s="1"/>
  <c r="K71" i="9"/>
  <c r="L71" i="9" s="1"/>
  <c r="Y70" i="9"/>
  <c r="AC70" i="9" s="1"/>
  <c r="W70" i="9"/>
  <c r="V70" i="9"/>
  <c r="S70" i="9"/>
  <c r="T70" i="9" s="1"/>
  <c r="R70" i="9"/>
  <c r="N70" i="9"/>
  <c r="P70" i="9" s="1"/>
  <c r="K70" i="9"/>
  <c r="L70" i="9" s="1"/>
  <c r="AD69" i="9"/>
  <c r="AC69" i="9"/>
  <c r="AA69" i="9"/>
  <c r="Z69" i="9"/>
  <c r="Y69" i="9"/>
  <c r="R69" i="9"/>
  <c r="V69" i="9" s="1"/>
  <c r="P69" i="9"/>
  <c r="N69" i="9"/>
  <c r="K69" i="9"/>
  <c r="L69" i="9" s="1"/>
  <c r="Y68" i="9"/>
  <c r="AC68" i="9" s="1"/>
  <c r="R68" i="9"/>
  <c r="V68" i="9" s="1"/>
  <c r="P68" i="9"/>
  <c r="N68" i="9"/>
  <c r="L68" i="9"/>
  <c r="K68" i="9"/>
  <c r="AC67" i="9"/>
  <c r="AA67" i="9"/>
  <c r="Y67" i="9"/>
  <c r="Z67" i="9" s="1"/>
  <c r="R67" i="9"/>
  <c r="S67" i="9" s="1"/>
  <c r="T67" i="9" s="1"/>
  <c r="N67" i="9"/>
  <c r="P67" i="9" s="1"/>
  <c r="K67" i="9"/>
  <c r="W67" i="9" s="1"/>
  <c r="AD66" i="9"/>
  <c r="Z66" i="9"/>
  <c r="AA66" i="9" s="1"/>
  <c r="Y66" i="9"/>
  <c r="AC66" i="9" s="1"/>
  <c r="V66" i="9"/>
  <c r="S66" i="9"/>
  <c r="R66" i="9"/>
  <c r="N66" i="9"/>
  <c r="P66" i="9" s="1"/>
  <c r="L66" i="9"/>
  <c r="K66" i="9"/>
  <c r="AC65" i="9"/>
  <c r="AA65" i="9"/>
  <c r="Z65" i="9"/>
  <c r="Y65" i="9"/>
  <c r="R65" i="9"/>
  <c r="S65" i="9" s="1"/>
  <c r="P65" i="9"/>
  <c r="N65" i="9"/>
  <c r="K65" i="9"/>
  <c r="Y64" i="9"/>
  <c r="R64" i="9"/>
  <c r="P64" i="9"/>
  <c r="N64" i="9"/>
  <c r="L64" i="9"/>
  <c r="K64" i="9"/>
  <c r="Y63" i="9"/>
  <c r="W63" i="9"/>
  <c r="V63" i="9"/>
  <c r="R63" i="9"/>
  <c r="S63" i="9" s="1"/>
  <c r="T63" i="9" s="1"/>
  <c r="N63" i="9"/>
  <c r="P63" i="9" s="1"/>
  <c r="K63" i="9"/>
  <c r="L63" i="9" s="1"/>
  <c r="Y62" i="9"/>
  <c r="AC62" i="9" s="1"/>
  <c r="V62" i="9"/>
  <c r="S62" i="9"/>
  <c r="R62" i="9"/>
  <c r="N62" i="9"/>
  <c r="P62" i="9" s="1"/>
  <c r="K62" i="9"/>
  <c r="L62" i="9" s="1"/>
  <c r="AC61" i="9"/>
  <c r="AA61" i="9"/>
  <c r="Z61" i="9"/>
  <c r="Y61" i="9"/>
  <c r="V61" i="9"/>
  <c r="R61" i="9"/>
  <c r="S61" i="9" s="1"/>
  <c r="W61" i="9" s="1"/>
  <c r="P61" i="9"/>
  <c r="N61" i="9"/>
  <c r="K61" i="9"/>
  <c r="AC60" i="9"/>
  <c r="Y60" i="9"/>
  <c r="Z60" i="9" s="1"/>
  <c r="AD60" i="9" s="1"/>
  <c r="S60" i="9"/>
  <c r="W60" i="9" s="1"/>
  <c r="R60" i="9"/>
  <c r="V60" i="9" s="1"/>
  <c r="N60" i="9"/>
  <c r="P60" i="9" s="1"/>
  <c r="L60" i="9"/>
  <c r="K60" i="9"/>
  <c r="Z59" i="9"/>
  <c r="AD59" i="9" s="1"/>
  <c r="Y59" i="9"/>
  <c r="AC59" i="9" s="1"/>
  <c r="R59" i="9"/>
  <c r="N59" i="9"/>
  <c r="P59" i="9" s="1"/>
  <c r="K59" i="9"/>
  <c r="L59" i="9" s="1"/>
  <c r="Z58" i="9"/>
  <c r="Y58" i="9"/>
  <c r="AC58" i="9" s="1"/>
  <c r="V58" i="9"/>
  <c r="S58" i="9"/>
  <c r="R58" i="9"/>
  <c r="N58" i="9"/>
  <c r="P58" i="9" s="1"/>
  <c r="K58" i="9"/>
  <c r="L58" i="9" s="1"/>
  <c r="AC57" i="9"/>
  <c r="AA57" i="9"/>
  <c r="Z57" i="9"/>
  <c r="Y57" i="9"/>
  <c r="W57" i="9"/>
  <c r="V57" i="9"/>
  <c r="T57" i="9"/>
  <c r="S57" i="9"/>
  <c r="R57" i="9"/>
  <c r="P57" i="9"/>
  <c r="N57" i="9"/>
  <c r="K57" i="9"/>
  <c r="AD56" i="9"/>
  <c r="AC56" i="9"/>
  <c r="AA56" i="9"/>
  <c r="Z56" i="9"/>
  <c r="Y56" i="9"/>
  <c r="S56" i="9"/>
  <c r="R56" i="9"/>
  <c r="V56" i="9" s="1"/>
  <c r="N56" i="9"/>
  <c r="P56" i="9" s="1"/>
  <c r="L56" i="9"/>
  <c r="K56" i="9"/>
  <c r="Z55" i="9"/>
  <c r="Y55" i="9"/>
  <c r="AC55" i="9" s="1"/>
  <c r="R55" i="9"/>
  <c r="S55" i="9" s="1"/>
  <c r="T55" i="9" s="1"/>
  <c r="P55" i="9"/>
  <c r="N55" i="9"/>
  <c r="K55" i="9"/>
  <c r="L55" i="9" s="1"/>
  <c r="Y54" i="9"/>
  <c r="W54" i="9"/>
  <c r="V54" i="9"/>
  <c r="S54" i="9"/>
  <c r="T54" i="9" s="1"/>
  <c r="R54" i="9"/>
  <c r="N54" i="9"/>
  <c r="P54" i="9" s="1"/>
  <c r="L54" i="9"/>
  <c r="K54" i="9"/>
  <c r="AC53" i="9"/>
  <c r="AA53" i="9"/>
  <c r="Z53" i="9"/>
  <c r="Y53" i="9"/>
  <c r="R53" i="9"/>
  <c r="V53" i="9" s="1"/>
  <c r="P53" i="9"/>
  <c r="N53" i="9"/>
  <c r="K53" i="9"/>
  <c r="AD52" i="9"/>
  <c r="Z52" i="9"/>
  <c r="AA52" i="9" s="1"/>
  <c r="Y52" i="9"/>
  <c r="AC52" i="9" s="1"/>
  <c r="R52" i="9"/>
  <c r="N52" i="9"/>
  <c r="P52" i="9" s="1"/>
  <c r="L52" i="9"/>
  <c r="K52" i="9"/>
  <c r="Y51" i="9"/>
  <c r="W51" i="9"/>
  <c r="V51" i="9"/>
  <c r="R51" i="9"/>
  <c r="S51" i="9" s="1"/>
  <c r="T51" i="9" s="1"/>
  <c r="N51" i="9"/>
  <c r="P51" i="9" s="1"/>
  <c r="K51" i="9"/>
  <c r="L51" i="9" s="1"/>
  <c r="Y50" i="9"/>
  <c r="AC50" i="9" s="1"/>
  <c r="W50" i="9"/>
  <c r="V50" i="9"/>
  <c r="T50" i="9"/>
  <c r="S50" i="9"/>
  <c r="R50" i="9"/>
  <c r="N50" i="9"/>
  <c r="P50" i="9" s="1"/>
  <c r="K50" i="9"/>
  <c r="L50" i="9" s="1"/>
  <c r="AD49" i="9"/>
  <c r="AC49" i="9"/>
  <c r="AA49" i="9"/>
  <c r="Z49" i="9"/>
  <c r="Y49" i="9"/>
  <c r="V49" i="9"/>
  <c r="R49" i="9"/>
  <c r="S49" i="9" s="1"/>
  <c r="P49" i="9"/>
  <c r="N49" i="9"/>
  <c r="K49" i="9"/>
  <c r="L49" i="9" s="1"/>
  <c r="Z48" i="9"/>
  <c r="AD48" i="9" s="1"/>
  <c r="Y48" i="9"/>
  <c r="AC48" i="9" s="1"/>
  <c r="R48" i="9"/>
  <c r="N48" i="9"/>
  <c r="P48" i="9" s="1"/>
  <c r="K48" i="9"/>
  <c r="L48" i="9" s="1"/>
  <c r="Y47" i="9"/>
  <c r="Z47" i="9" s="1"/>
  <c r="W47" i="9"/>
  <c r="V47" i="9"/>
  <c r="R47" i="9"/>
  <c r="S47" i="9" s="1"/>
  <c r="T47" i="9" s="1"/>
  <c r="P47" i="9"/>
  <c r="N47" i="9"/>
  <c r="K47" i="9"/>
  <c r="L47" i="9" s="1"/>
  <c r="AC46" i="9"/>
  <c r="Z46" i="9"/>
  <c r="AA46" i="9" s="1"/>
  <c r="Y46" i="9"/>
  <c r="S46" i="9"/>
  <c r="R46" i="9"/>
  <c r="V46" i="9" s="1"/>
  <c r="N46" i="9"/>
  <c r="P46" i="9" s="1"/>
  <c r="K46" i="9"/>
  <c r="L46" i="9" s="1"/>
  <c r="AD45" i="9"/>
  <c r="AC45" i="9"/>
  <c r="Z45" i="9"/>
  <c r="AA45" i="9" s="1"/>
  <c r="Y45" i="9"/>
  <c r="V45" i="9"/>
  <c r="S45" i="9"/>
  <c r="R45" i="9"/>
  <c r="N45" i="9"/>
  <c r="P45" i="9" s="1"/>
  <c r="K45" i="9"/>
  <c r="L45" i="9" s="1"/>
  <c r="AD44" i="9"/>
  <c r="AC44" i="9"/>
  <c r="Z44" i="9"/>
  <c r="AA44" i="9" s="1"/>
  <c r="Y44" i="9"/>
  <c r="R44" i="9"/>
  <c r="V44" i="9" s="1"/>
  <c r="N44" i="9"/>
  <c r="P44" i="9" s="1"/>
  <c r="L44" i="9"/>
  <c r="K44" i="9"/>
  <c r="Z43" i="9"/>
  <c r="Y43" i="9"/>
  <c r="AC43" i="9" s="1"/>
  <c r="V43" i="9"/>
  <c r="T43" i="9"/>
  <c r="R43" i="9"/>
  <c r="S43" i="9" s="1"/>
  <c r="N43" i="9"/>
  <c r="P43" i="9" s="1"/>
  <c r="K43" i="9"/>
  <c r="W43" i="9" s="1"/>
  <c r="AC42" i="9"/>
  <c r="Z42" i="9"/>
  <c r="Y42" i="9"/>
  <c r="V42" i="9"/>
  <c r="R42" i="9"/>
  <c r="S42" i="9" s="1"/>
  <c r="W42" i="9" s="1"/>
  <c r="N42" i="9"/>
  <c r="P42" i="9" s="1"/>
  <c r="L42" i="9"/>
  <c r="K42" i="9"/>
  <c r="AC41" i="9"/>
  <c r="Z41" i="9"/>
  <c r="AA41" i="9" s="1"/>
  <c r="Y41" i="9"/>
  <c r="R41" i="9"/>
  <c r="S41" i="9" s="1"/>
  <c r="T41" i="9" s="1"/>
  <c r="N41" i="9"/>
  <c r="P41" i="9" s="1"/>
  <c r="K41" i="9"/>
  <c r="AC40" i="9"/>
  <c r="Y40" i="9"/>
  <c r="Z40" i="9" s="1"/>
  <c r="AA40" i="9" s="1"/>
  <c r="R40" i="9"/>
  <c r="V40" i="9" s="1"/>
  <c r="P40" i="9"/>
  <c r="N40" i="9"/>
  <c r="K40" i="9"/>
  <c r="AC39" i="9"/>
  <c r="Y39" i="9"/>
  <c r="Z39" i="9" s="1"/>
  <c r="R39" i="9"/>
  <c r="N39" i="9"/>
  <c r="P39" i="9" s="1"/>
  <c r="L39" i="9"/>
  <c r="K39" i="9"/>
  <c r="Y38" i="9"/>
  <c r="R38" i="9"/>
  <c r="N38" i="9"/>
  <c r="P38" i="9" s="1"/>
  <c r="K38" i="9"/>
  <c r="L38" i="9" s="1"/>
  <c r="AC37" i="9"/>
  <c r="Z37" i="9"/>
  <c r="AA37" i="9" s="1"/>
  <c r="Y37" i="9"/>
  <c r="R37" i="9"/>
  <c r="V37" i="9" s="1"/>
  <c r="N37" i="9"/>
  <c r="P37" i="9" s="1"/>
  <c r="K37" i="9"/>
  <c r="L37" i="9" s="1"/>
  <c r="Y36" i="9"/>
  <c r="AC36" i="9" s="1"/>
  <c r="S36" i="9"/>
  <c r="R36" i="9"/>
  <c r="V36" i="9" s="1"/>
  <c r="N36" i="9"/>
  <c r="P36" i="9" s="1"/>
  <c r="L36" i="9"/>
  <c r="K36" i="9"/>
  <c r="AC35" i="9"/>
  <c r="Z35" i="9"/>
  <c r="AD35" i="9" s="1"/>
  <c r="Y35" i="9"/>
  <c r="V35" i="9"/>
  <c r="T35" i="9"/>
  <c r="R35" i="9"/>
  <c r="S35" i="9" s="1"/>
  <c r="W35" i="9" s="1"/>
  <c r="P35" i="9"/>
  <c r="N35" i="9"/>
  <c r="L35" i="9"/>
  <c r="K35" i="9"/>
  <c r="Y34" i="9"/>
  <c r="AC34" i="9" s="1"/>
  <c r="W34" i="9"/>
  <c r="V34" i="9"/>
  <c r="T34" i="9"/>
  <c r="R34" i="9"/>
  <c r="S34" i="9" s="1"/>
  <c r="N34" i="9"/>
  <c r="P34" i="9" s="1"/>
  <c r="K34" i="9"/>
  <c r="L34" i="9" s="1"/>
  <c r="AD33" i="9"/>
  <c r="AC33" i="9"/>
  <c r="AA33" i="9"/>
  <c r="Z33" i="9"/>
  <c r="Y33" i="9"/>
  <c r="R33" i="9"/>
  <c r="V33" i="9" s="1"/>
  <c r="P33" i="9"/>
  <c r="N33" i="9"/>
  <c r="K33" i="9"/>
  <c r="L33" i="9" s="1"/>
  <c r="Y32" i="9"/>
  <c r="R32" i="9"/>
  <c r="N32" i="9"/>
  <c r="P32" i="9" s="1"/>
  <c r="L32" i="9"/>
  <c r="K32" i="9"/>
  <c r="Y31" i="9"/>
  <c r="V31" i="9"/>
  <c r="S31" i="9"/>
  <c r="T31" i="9" s="1"/>
  <c r="R31" i="9"/>
  <c r="N31" i="9"/>
  <c r="P31" i="9" s="1"/>
  <c r="K31" i="9"/>
  <c r="L31" i="9" s="1"/>
  <c r="AC30" i="9"/>
  <c r="Y30" i="9"/>
  <c r="Z30" i="9" s="1"/>
  <c r="V30" i="9"/>
  <c r="R30" i="9"/>
  <c r="S30" i="9" s="1"/>
  <c r="T30" i="9" s="1"/>
  <c r="P30" i="9"/>
  <c r="N30" i="9"/>
  <c r="K30" i="9"/>
  <c r="L30" i="9" s="1"/>
  <c r="AC29" i="9"/>
  <c r="Y29" i="9"/>
  <c r="Z29" i="9" s="1"/>
  <c r="AA29" i="9" s="1"/>
  <c r="R29" i="9"/>
  <c r="P29" i="9"/>
  <c r="N29" i="9"/>
  <c r="L29" i="9"/>
  <c r="K29" i="9"/>
  <c r="Y28" i="9"/>
  <c r="Z28" i="9" s="1"/>
  <c r="R28" i="9"/>
  <c r="S28" i="9" s="1"/>
  <c r="N28" i="9"/>
  <c r="P28" i="9" s="1"/>
  <c r="K28" i="9"/>
  <c r="L28" i="9" s="1"/>
  <c r="Y27" i="9"/>
  <c r="AC27" i="9" s="1"/>
  <c r="W27" i="9"/>
  <c r="V27" i="9"/>
  <c r="T27" i="9"/>
  <c r="S27" i="9"/>
  <c r="R27" i="9"/>
  <c r="N27" i="9"/>
  <c r="P27" i="9" s="1"/>
  <c r="K27" i="9"/>
  <c r="L27" i="9" s="1"/>
  <c r="AD26" i="9"/>
  <c r="AC26" i="9"/>
  <c r="AA26" i="9"/>
  <c r="Z26" i="9"/>
  <c r="Y26" i="9"/>
  <c r="R26" i="9"/>
  <c r="V26" i="9" s="1"/>
  <c r="P26" i="9"/>
  <c r="N26" i="9"/>
  <c r="K26" i="9"/>
  <c r="L26" i="9" s="1"/>
  <c r="Y25" i="9"/>
  <c r="AC25" i="9" s="1"/>
  <c r="R25" i="9"/>
  <c r="V25" i="9" s="1"/>
  <c r="P25" i="9"/>
  <c r="N25" i="9"/>
  <c r="L25" i="9"/>
  <c r="K25" i="9"/>
  <c r="AC24" i="9"/>
  <c r="Y24" i="9"/>
  <c r="Z24" i="9" s="1"/>
  <c r="AD24" i="9" s="1"/>
  <c r="W24" i="9"/>
  <c r="V24" i="9"/>
  <c r="R24" i="9"/>
  <c r="S24" i="9" s="1"/>
  <c r="T24" i="9" s="1"/>
  <c r="N24" i="9"/>
  <c r="P24" i="9" s="1"/>
  <c r="L24" i="9"/>
  <c r="K24" i="9"/>
  <c r="Y23" i="9"/>
  <c r="AC23" i="9" s="1"/>
  <c r="W23" i="9"/>
  <c r="V23" i="9"/>
  <c r="S23" i="9"/>
  <c r="T23" i="9" s="1"/>
  <c r="R23" i="9"/>
  <c r="N23" i="9"/>
  <c r="P23" i="9" s="1"/>
  <c r="K23" i="9"/>
  <c r="L23" i="9" s="1"/>
  <c r="AD22" i="9"/>
  <c r="AC22" i="9"/>
  <c r="AA22" i="9"/>
  <c r="Z22" i="9"/>
  <c r="Y22" i="9"/>
  <c r="R22" i="9"/>
  <c r="V22" i="9" s="1"/>
  <c r="P22" i="9"/>
  <c r="N22" i="9"/>
  <c r="K22" i="9"/>
  <c r="L22" i="9" s="1"/>
  <c r="Z21" i="9"/>
  <c r="Y21" i="9"/>
  <c r="AC21" i="9" s="1"/>
  <c r="T21" i="9"/>
  <c r="S21" i="9"/>
  <c r="W21" i="9" s="1"/>
  <c r="R21" i="9"/>
  <c r="V21" i="9" s="1"/>
  <c r="N21" i="9"/>
  <c r="P21" i="9" s="1"/>
  <c r="L21" i="9"/>
  <c r="K21" i="9"/>
  <c r="AC20" i="9"/>
  <c r="Z20" i="9"/>
  <c r="Y20" i="9"/>
  <c r="R20" i="9"/>
  <c r="S20" i="9" s="1"/>
  <c r="N20" i="9"/>
  <c r="P20" i="9" s="1"/>
  <c r="K20" i="9"/>
  <c r="L20" i="9" s="1"/>
  <c r="Y19" i="9"/>
  <c r="V19" i="9"/>
  <c r="S19" i="9"/>
  <c r="R19" i="9"/>
  <c r="N19" i="9"/>
  <c r="P19" i="9" s="1"/>
  <c r="K19" i="9"/>
  <c r="L19" i="9" s="1"/>
  <c r="AD18" i="9"/>
  <c r="AC18" i="9"/>
  <c r="AA18" i="9"/>
  <c r="Z18" i="9"/>
  <c r="Y18" i="9"/>
  <c r="R18" i="9"/>
  <c r="V18" i="9" s="1"/>
  <c r="P18" i="9"/>
  <c r="N18" i="9"/>
  <c r="K18" i="9"/>
  <c r="L18" i="9" s="1"/>
  <c r="Z17" i="9"/>
  <c r="Y17" i="9"/>
  <c r="AC17" i="9" s="1"/>
  <c r="R17" i="9"/>
  <c r="V17" i="9" s="1"/>
  <c r="N17" i="9"/>
  <c r="P17" i="9" s="1"/>
  <c r="L17" i="9"/>
  <c r="K17" i="9"/>
  <c r="AC16" i="9"/>
  <c r="AA16" i="9"/>
  <c r="Z16" i="9"/>
  <c r="Y16" i="9"/>
  <c r="R16" i="9"/>
  <c r="N16" i="9"/>
  <c r="P16" i="9" s="1"/>
  <c r="K16" i="9"/>
  <c r="L16" i="9" s="1"/>
  <c r="Y15" i="9"/>
  <c r="AC15" i="9" s="1"/>
  <c r="W15" i="9"/>
  <c r="V15" i="9"/>
  <c r="S15" i="9"/>
  <c r="T15" i="9" s="1"/>
  <c r="R15" i="9"/>
  <c r="N15" i="9"/>
  <c r="P15" i="9" s="1"/>
  <c r="K15" i="9"/>
  <c r="L15" i="9" s="1"/>
  <c r="AC14" i="9"/>
  <c r="AA14" i="9"/>
  <c r="Z14" i="9"/>
  <c r="Y14" i="9"/>
  <c r="R14" i="9"/>
  <c r="V14" i="9" s="1"/>
  <c r="P14" i="9"/>
  <c r="N14" i="9"/>
  <c r="K14" i="9"/>
  <c r="L14" i="9" s="1"/>
  <c r="Y13" i="9"/>
  <c r="AC13" i="9" s="1"/>
  <c r="R13" i="9"/>
  <c r="V13" i="9" s="1"/>
  <c r="P13" i="9"/>
  <c r="N13" i="9"/>
  <c r="L13" i="9"/>
  <c r="K13" i="9"/>
  <c r="Z12" i="9"/>
  <c r="AD12" i="9" s="1"/>
  <c r="Y12" i="9"/>
  <c r="AC12" i="9" s="1"/>
  <c r="R12" i="9"/>
  <c r="S12" i="9" s="1"/>
  <c r="T12" i="9" s="1"/>
  <c r="N12" i="9"/>
  <c r="P12" i="9" s="1"/>
  <c r="K12" i="9"/>
  <c r="Z11" i="9"/>
  <c r="AA11" i="9" s="1"/>
  <c r="Y11" i="9"/>
  <c r="AC11" i="9" s="1"/>
  <c r="V11" i="9"/>
  <c r="S11" i="9"/>
  <c r="W11" i="9" s="1"/>
  <c r="R11" i="9"/>
  <c r="N11" i="9"/>
  <c r="P11" i="9" s="1"/>
  <c r="L11" i="9"/>
  <c r="K11" i="9"/>
  <c r="AC10" i="9"/>
  <c r="AA10" i="9"/>
  <c r="Z10" i="9"/>
  <c r="Y10" i="9"/>
  <c r="R10" i="9"/>
  <c r="P10" i="9"/>
  <c r="N10" i="9"/>
  <c r="K10" i="9"/>
  <c r="Y9" i="9"/>
  <c r="Z9" i="9" s="1"/>
  <c r="AA9" i="9" s="1"/>
  <c r="R9" i="9"/>
  <c r="V9" i="9" s="1"/>
  <c r="N9" i="9"/>
  <c r="P9" i="9" s="1"/>
  <c r="L9" i="9"/>
  <c r="K9" i="9"/>
  <c r="Y8" i="9"/>
  <c r="AC8" i="9" s="1"/>
  <c r="V8" i="9"/>
  <c r="R8" i="9"/>
  <c r="S8" i="9" s="1"/>
  <c r="T8" i="9" s="1"/>
  <c r="N8" i="9"/>
  <c r="P8" i="9" s="1"/>
  <c r="K8" i="9"/>
  <c r="Y7" i="9"/>
  <c r="AC7" i="9" s="1"/>
  <c r="V7" i="9"/>
  <c r="S7" i="9"/>
  <c r="R7" i="9"/>
  <c r="N7" i="9"/>
  <c r="P7" i="9" s="1"/>
  <c r="K7" i="9"/>
  <c r="L7" i="9" s="1"/>
  <c r="AC6" i="9"/>
  <c r="AA6" i="9"/>
  <c r="Z6" i="9"/>
  <c r="Y6" i="9"/>
  <c r="V6" i="9"/>
  <c r="R6" i="9"/>
  <c r="S6" i="9" s="1"/>
  <c r="W6" i="9" s="1"/>
  <c r="P6" i="9"/>
  <c r="N6" i="9"/>
  <c r="K6" i="9"/>
  <c r="AC5" i="9"/>
  <c r="Y5" i="9"/>
  <c r="Z5" i="9" s="1"/>
  <c r="AD5" i="9" s="1"/>
  <c r="R5" i="9"/>
  <c r="V5" i="9" s="1"/>
  <c r="N5" i="9"/>
  <c r="P5" i="9" s="1"/>
  <c r="L5" i="9"/>
  <c r="K5" i="9"/>
  <c r="Y4" i="9"/>
  <c r="AC4" i="9" s="1"/>
  <c r="W4" i="9"/>
  <c r="R4" i="9"/>
  <c r="S4" i="9" s="1"/>
  <c r="T4" i="9" s="1"/>
  <c r="N4" i="9"/>
  <c r="P4" i="9" s="1"/>
  <c r="K4" i="9"/>
  <c r="L4" i="9" s="1"/>
  <c r="Y3" i="9"/>
  <c r="AC3" i="9" s="1"/>
  <c r="V3" i="9"/>
  <c r="S3" i="9"/>
  <c r="T3" i="9" s="1"/>
  <c r="R3" i="9"/>
  <c r="N3" i="9"/>
  <c r="P3" i="9" s="1"/>
  <c r="K3" i="9"/>
  <c r="L3" i="9" s="1"/>
  <c r="AD2" i="9"/>
  <c r="AC2" i="9"/>
  <c r="AA2" i="9"/>
  <c r="Z2" i="9"/>
  <c r="Y2" i="9"/>
  <c r="V2" i="9"/>
  <c r="T2" i="9"/>
  <c r="S2" i="9"/>
  <c r="W2" i="9" s="1"/>
  <c r="R2" i="9"/>
  <c r="P2" i="9"/>
  <c r="N2" i="9"/>
  <c r="K2" i="9"/>
  <c r="L2" i="9" s="1"/>
  <c r="K2" i="8"/>
  <c r="M2" i="8" s="1"/>
  <c r="I2" i="8"/>
  <c r="H2" i="8"/>
  <c r="L85" i="7"/>
  <c r="P85" i="7" s="1"/>
  <c r="Q85" i="7" s="1"/>
  <c r="R85" i="7" s="1"/>
  <c r="G85" i="7"/>
  <c r="H85" i="7" s="1"/>
  <c r="R84" i="7"/>
  <c r="L84" i="7"/>
  <c r="P84" i="7" s="1"/>
  <c r="Q84" i="7" s="1"/>
  <c r="H84" i="7"/>
  <c r="G84" i="7"/>
  <c r="M83" i="7"/>
  <c r="N83" i="7" s="1"/>
  <c r="L83" i="7"/>
  <c r="P83" i="7" s="1"/>
  <c r="Q83" i="7" s="1"/>
  <c r="R83" i="7" s="1"/>
  <c r="G83" i="7"/>
  <c r="H83" i="7" s="1"/>
  <c r="R82" i="7"/>
  <c r="L82" i="7"/>
  <c r="P82" i="7" s="1"/>
  <c r="Q82" i="7" s="1"/>
  <c r="G82" i="7"/>
  <c r="H82" i="7" s="1"/>
  <c r="L81" i="7"/>
  <c r="P81" i="7" s="1"/>
  <c r="Q81" i="7" s="1"/>
  <c r="R81" i="7" s="1"/>
  <c r="H81" i="7"/>
  <c r="G81" i="7"/>
  <c r="R80" i="7"/>
  <c r="L80" i="7"/>
  <c r="P80" i="7" s="1"/>
  <c r="Q80" i="7" s="1"/>
  <c r="G80" i="7"/>
  <c r="H80" i="7" s="1"/>
  <c r="R79" i="7"/>
  <c r="M79" i="7"/>
  <c r="N79" i="7" s="1"/>
  <c r="L79" i="7"/>
  <c r="P79" i="7" s="1"/>
  <c r="Q79" i="7" s="1"/>
  <c r="G79" i="7"/>
  <c r="H79" i="7" s="1"/>
  <c r="L78" i="7"/>
  <c r="P78" i="7" s="1"/>
  <c r="Q78" i="7" s="1"/>
  <c r="R78" i="7" s="1"/>
  <c r="G78" i="7"/>
  <c r="H78" i="7" s="1"/>
  <c r="L77" i="7"/>
  <c r="P77" i="7" s="1"/>
  <c r="Q77" i="7" s="1"/>
  <c r="R77" i="7" s="1"/>
  <c r="G77" i="7"/>
  <c r="H77" i="7" s="1"/>
  <c r="R76" i="7"/>
  <c r="L76" i="7"/>
  <c r="P76" i="7" s="1"/>
  <c r="Q76" i="7" s="1"/>
  <c r="H76" i="7"/>
  <c r="G76" i="7"/>
  <c r="L75" i="7"/>
  <c r="P75" i="7" s="1"/>
  <c r="Q75" i="7" s="1"/>
  <c r="R75" i="7" s="1"/>
  <c r="G75" i="7"/>
  <c r="H75" i="7" s="1"/>
  <c r="R74" i="7"/>
  <c r="L74" i="7"/>
  <c r="P74" i="7" s="1"/>
  <c r="Q74" i="7" s="1"/>
  <c r="G74" i="7"/>
  <c r="H74" i="7" s="1"/>
  <c r="M73" i="7"/>
  <c r="N73" i="7" s="1"/>
  <c r="L73" i="7"/>
  <c r="P73" i="7" s="1"/>
  <c r="Q73" i="7" s="1"/>
  <c r="R73" i="7" s="1"/>
  <c r="G73" i="7"/>
  <c r="H73" i="7" s="1"/>
  <c r="R72" i="7"/>
  <c r="L72" i="7"/>
  <c r="P72" i="7" s="1"/>
  <c r="Q72" i="7" s="1"/>
  <c r="G72" i="7"/>
  <c r="H72" i="7" s="1"/>
  <c r="R71" i="7"/>
  <c r="N71" i="7"/>
  <c r="M71" i="7"/>
  <c r="L71" i="7"/>
  <c r="P71" i="7" s="1"/>
  <c r="Q71" i="7" s="1"/>
  <c r="G71" i="7"/>
  <c r="H71" i="7" s="1"/>
  <c r="L70" i="7"/>
  <c r="P70" i="7" s="1"/>
  <c r="Q70" i="7" s="1"/>
  <c r="R70" i="7" s="1"/>
  <c r="G70" i="7"/>
  <c r="H70" i="7" s="1"/>
  <c r="L69" i="7"/>
  <c r="P69" i="7" s="1"/>
  <c r="Q69" i="7" s="1"/>
  <c r="R69" i="7" s="1"/>
  <c r="G69" i="7"/>
  <c r="H69" i="7" s="1"/>
  <c r="R68" i="7"/>
  <c r="L68" i="7"/>
  <c r="P68" i="7" s="1"/>
  <c r="Q68" i="7" s="1"/>
  <c r="H68" i="7"/>
  <c r="G68" i="7"/>
  <c r="L67" i="7"/>
  <c r="P67" i="7" s="1"/>
  <c r="Q67" i="7" s="1"/>
  <c r="R67" i="7" s="1"/>
  <c r="G67" i="7"/>
  <c r="H67" i="7" s="1"/>
  <c r="R66" i="7"/>
  <c r="L66" i="7"/>
  <c r="P66" i="7" s="1"/>
  <c r="Q66" i="7" s="1"/>
  <c r="G66" i="7"/>
  <c r="H66" i="7" s="1"/>
  <c r="L65" i="7"/>
  <c r="P65" i="7" s="1"/>
  <c r="Q65" i="7" s="1"/>
  <c r="R65" i="7" s="1"/>
  <c r="G65" i="7"/>
  <c r="H65" i="7" s="1"/>
  <c r="R64" i="7"/>
  <c r="L64" i="7"/>
  <c r="P64" i="7" s="1"/>
  <c r="Q64" i="7" s="1"/>
  <c r="G64" i="7"/>
  <c r="H64" i="7" s="1"/>
  <c r="R63" i="7"/>
  <c r="M63" i="7"/>
  <c r="N63" i="7" s="1"/>
  <c r="L63" i="7"/>
  <c r="P63" i="7" s="1"/>
  <c r="Q63" i="7" s="1"/>
  <c r="G63" i="7"/>
  <c r="H63" i="7" s="1"/>
  <c r="J62" i="7"/>
  <c r="L62" i="7" s="1"/>
  <c r="H62" i="7"/>
  <c r="G62" i="7"/>
  <c r="J61" i="7"/>
  <c r="L61" i="7" s="1"/>
  <c r="H61" i="7"/>
  <c r="G61" i="7"/>
  <c r="J60" i="7"/>
  <c r="L60" i="7" s="1"/>
  <c r="H60" i="7"/>
  <c r="G60" i="7"/>
  <c r="P59" i="7"/>
  <c r="Q59" i="7" s="1"/>
  <c r="R59" i="7" s="1"/>
  <c r="N59" i="7"/>
  <c r="M59" i="7"/>
  <c r="L59" i="7"/>
  <c r="J59" i="7"/>
  <c r="G59" i="7"/>
  <c r="H59" i="7" s="1"/>
  <c r="P58" i="7"/>
  <c r="Q58" i="7" s="1"/>
  <c r="R58" i="7" s="1"/>
  <c r="N58" i="7"/>
  <c r="M58" i="7"/>
  <c r="L58" i="7"/>
  <c r="J58" i="7"/>
  <c r="H58" i="7"/>
  <c r="G58" i="7"/>
  <c r="P57" i="7"/>
  <c r="Q57" i="7" s="1"/>
  <c r="R57" i="7" s="1"/>
  <c r="N57" i="7"/>
  <c r="J57" i="7"/>
  <c r="L57" i="7" s="1"/>
  <c r="M57" i="7" s="1"/>
  <c r="G57" i="7"/>
  <c r="H57" i="7" s="1"/>
  <c r="J56" i="7"/>
  <c r="L56" i="7" s="1"/>
  <c r="G56" i="7"/>
  <c r="H56" i="7" s="1"/>
  <c r="J55" i="7"/>
  <c r="L55" i="7" s="1"/>
  <c r="G55" i="7"/>
  <c r="H55" i="7" s="1"/>
  <c r="J54" i="7"/>
  <c r="L54" i="7" s="1"/>
  <c r="G54" i="7"/>
  <c r="H54" i="7" s="1"/>
  <c r="P53" i="7"/>
  <c r="Q53" i="7" s="1"/>
  <c r="R53" i="7" s="1"/>
  <c r="J53" i="7"/>
  <c r="L53" i="7" s="1"/>
  <c r="M53" i="7" s="1"/>
  <c r="N53" i="7" s="1"/>
  <c r="H53" i="7"/>
  <c r="G53" i="7"/>
  <c r="Q52" i="7"/>
  <c r="R52" i="7" s="1"/>
  <c r="P52" i="7"/>
  <c r="J52" i="7"/>
  <c r="L52" i="7" s="1"/>
  <c r="M52" i="7" s="1"/>
  <c r="N52" i="7" s="1"/>
  <c r="H52" i="7"/>
  <c r="G52" i="7"/>
  <c r="P51" i="7"/>
  <c r="Q51" i="7" s="1"/>
  <c r="R51" i="7" s="1"/>
  <c r="N51" i="7"/>
  <c r="L51" i="7"/>
  <c r="M51" i="7" s="1"/>
  <c r="J51" i="7"/>
  <c r="G51" i="7"/>
  <c r="H51" i="7" s="1"/>
  <c r="P50" i="7"/>
  <c r="Q50" i="7" s="1"/>
  <c r="R50" i="7" s="1"/>
  <c r="N50" i="7"/>
  <c r="M50" i="7"/>
  <c r="L50" i="7"/>
  <c r="J50" i="7"/>
  <c r="G50" i="7"/>
  <c r="H50" i="7" s="1"/>
  <c r="P49" i="7"/>
  <c r="Q49" i="7" s="1"/>
  <c r="R49" i="7" s="1"/>
  <c r="J49" i="7"/>
  <c r="L49" i="7" s="1"/>
  <c r="M49" i="7" s="1"/>
  <c r="N49" i="7" s="1"/>
  <c r="G49" i="7"/>
  <c r="H49" i="7" s="1"/>
  <c r="L48" i="7"/>
  <c r="J48" i="7"/>
  <c r="G48" i="7"/>
  <c r="H48" i="7" s="1"/>
  <c r="J47" i="7"/>
  <c r="L47" i="7" s="1"/>
  <c r="G47" i="7"/>
  <c r="H47" i="7" s="1"/>
  <c r="J46" i="7"/>
  <c r="L46" i="7" s="1"/>
  <c r="H46" i="7"/>
  <c r="G46" i="7"/>
  <c r="M45" i="7"/>
  <c r="N45" i="7" s="1"/>
  <c r="L45" i="7"/>
  <c r="P45" i="7" s="1"/>
  <c r="Q45" i="7" s="1"/>
  <c r="R45" i="7" s="1"/>
  <c r="J45" i="7"/>
  <c r="H45" i="7"/>
  <c r="G45" i="7"/>
  <c r="J44" i="7"/>
  <c r="L44" i="7" s="1"/>
  <c r="H44" i="7"/>
  <c r="G44" i="7"/>
  <c r="L43" i="7"/>
  <c r="J43" i="7"/>
  <c r="G43" i="7"/>
  <c r="H43" i="7" s="1"/>
  <c r="P42" i="7"/>
  <c r="Q42" i="7" s="1"/>
  <c r="R42" i="7" s="1"/>
  <c r="M42" i="7"/>
  <c r="N42" i="7" s="1"/>
  <c r="L42" i="7"/>
  <c r="J42" i="7"/>
  <c r="H42" i="7"/>
  <c r="G42" i="7"/>
  <c r="Q41" i="7"/>
  <c r="R41" i="7" s="1"/>
  <c r="P41" i="7"/>
  <c r="J41" i="7"/>
  <c r="L41" i="7" s="1"/>
  <c r="M41" i="7" s="1"/>
  <c r="N41" i="7" s="1"/>
  <c r="G41" i="7"/>
  <c r="H41" i="7" s="1"/>
  <c r="J40" i="7"/>
  <c r="L40" i="7" s="1"/>
  <c r="H40" i="7"/>
  <c r="G40" i="7"/>
  <c r="J39" i="7"/>
  <c r="L39" i="7" s="1"/>
  <c r="H39" i="7"/>
  <c r="G39" i="7"/>
  <c r="J38" i="7"/>
  <c r="L38" i="7" s="1"/>
  <c r="G38" i="7"/>
  <c r="H38" i="7" s="1"/>
  <c r="J37" i="7"/>
  <c r="L37" i="7" s="1"/>
  <c r="P37" i="7" s="1"/>
  <c r="Q37" i="7" s="1"/>
  <c r="R37" i="7" s="1"/>
  <c r="H37" i="7"/>
  <c r="G37" i="7"/>
  <c r="J36" i="7"/>
  <c r="L36" i="7" s="1"/>
  <c r="P36" i="7" s="1"/>
  <c r="Q36" i="7" s="1"/>
  <c r="R36" i="7" s="1"/>
  <c r="H36" i="7"/>
  <c r="G36" i="7"/>
  <c r="P35" i="7"/>
  <c r="Q35" i="7" s="1"/>
  <c r="R35" i="7" s="1"/>
  <c r="L35" i="7"/>
  <c r="M35" i="7" s="1"/>
  <c r="N35" i="7" s="1"/>
  <c r="J35" i="7"/>
  <c r="G35" i="7"/>
  <c r="H35" i="7" s="1"/>
  <c r="P34" i="7"/>
  <c r="Q34" i="7" s="1"/>
  <c r="R34" i="7" s="1"/>
  <c r="N34" i="7"/>
  <c r="M34" i="7"/>
  <c r="L34" i="7"/>
  <c r="J34" i="7"/>
  <c r="G34" i="7"/>
  <c r="H34" i="7" s="1"/>
  <c r="P33" i="7"/>
  <c r="Q33" i="7" s="1"/>
  <c r="R33" i="7" s="1"/>
  <c r="J33" i="7"/>
  <c r="L33" i="7" s="1"/>
  <c r="M33" i="7" s="1"/>
  <c r="N33" i="7" s="1"/>
  <c r="G33" i="7"/>
  <c r="H33" i="7" s="1"/>
  <c r="L32" i="7"/>
  <c r="M32" i="7" s="1"/>
  <c r="N32" i="7" s="1"/>
  <c r="J32" i="7"/>
  <c r="G32" i="7"/>
  <c r="H32" i="7" s="1"/>
  <c r="R31" i="7"/>
  <c r="Q31" i="7"/>
  <c r="M31" i="7"/>
  <c r="N31" i="7" s="1"/>
  <c r="L31" i="7"/>
  <c r="P31" i="7" s="1"/>
  <c r="J31" i="7"/>
  <c r="G31" i="7"/>
  <c r="H31" i="7" s="1"/>
  <c r="L30" i="7"/>
  <c r="P30" i="7" s="1"/>
  <c r="Q30" i="7" s="1"/>
  <c r="R30" i="7" s="1"/>
  <c r="J30" i="7"/>
  <c r="H30" i="7"/>
  <c r="G30" i="7"/>
  <c r="J29" i="7"/>
  <c r="L29" i="7" s="1"/>
  <c r="H29" i="7"/>
  <c r="G29" i="7"/>
  <c r="J28" i="7"/>
  <c r="L28" i="7" s="1"/>
  <c r="G28" i="7"/>
  <c r="H28" i="7" s="1"/>
  <c r="L27" i="7"/>
  <c r="J27" i="7"/>
  <c r="G27" i="7"/>
  <c r="H27" i="7" s="1"/>
  <c r="P26" i="7"/>
  <c r="Q26" i="7" s="1"/>
  <c r="R26" i="7" s="1"/>
  <c r="N26" i="7"/>
  <c r="M26" i="7"/>
  <c r="L26" i="7"/>
  <c r="J26" i="7"/>
  <c r="G26" i="7"/>
  <c r="H26" i="7" s="1"/>
  <c r="J25" i="7"/>
  <c r="L25" i="7" s="1"/>
  <c r="G25" i="7"/>
  <c r="H25" i="7" s="1"/>
  <c r="J24" i="7"/>
  <c r="L24" i="7" s="1"/>
  <c r="G24" i="7"/>
  <c r="H24" i="7" s="1"/>
  <c r="J23" i="7"/>
  <c r="L23" i="7" s="1"/>
  <c r="H23" i="7"/>
  <c r="G23" i="7"/>
  <c r="J22" i="7"/>
  <c r="L22" i="7" s="1"/>
  <c r="P22" i="7" s="1"/>
  <c r="Q22" i="7" s="1"/>
  <c r="R22" i="7" s="1"/>
  <c r="G22" i="7"/>
  <c r="H22" i="7" s="1"/>
  <c r="P21" i="7"/>
  <c r="Q21" i="7" s="1"/>
  <c r="R21" i="7" s="1"/>
  <c r="L21" i="7"/>
  <c r="M21" i="7" s="1"/>
  <c r="N21" i="7" s="1"/>
  <c r="J21" i="7"/>
  <c r="H21" i="7"/>
  <c r="G21" i="7"/>
  <c r="P20" i="7"/>
  <c r="Q20" i="7" s="1"/>
  <c r="R20" i="7" s="1"/>
  <c r="L20" i="7"/>
  <c r="M20" i="7" s="1"/>
  <c r="N20" i="7" s="1"/>
  <c r="J20" i="7"/>
  <c r="H20" i="7"/>
  <c r="G20" i="7"/>
  <c r="R19" i="7"/>
  <c r="Q19" i="7"/>
  <c r="P19" i="7"/>
  <c r="M19" i="7"/>
  <c r="N19" i="7" s="1"/>
  <c r="L19" i="7"/>
  <c r="J19" i="7"/>
  <c r="G19" i="7"/>
  <c r="H19" i="7" s="1"/>
  <c r="R18" i="7"/>
  <c r="Q18" i="7"/>
  <c r="P18" i="7"/>
  <c r="M18" i="7"/>
  <c r="N18" i="7" s="1"/>
  <c r="L18" i="7"/>
  <c r="J18" i="7"/>
  <c r="G18" i="7"/>
  <c r="H18" i="7" s="1"/>
  <c r="R17" i="7"/>
  <c r="P17" i="7"/>
  <c r="Q17" i="7" s="1"/>
  <c r="N17" i="7"/>
  <c r="J17" i="7"/>
  <c r="L17" i="7" s="1"/>
  <c r="M17" i="7" s="1"/>
  <c r="G17" i="7"/>
  <c r="H17" i="7" s="1"/>
  <c r="P16" i="7"/>
  <c r="Q16" i="7" s="1"/>
  <c r="R16" i="7" s="1"/>
  <c r="J16" i="7"/>
  <c r="L16" i="7" s="1"/>
  <c r="M16" i="7" s="1"/>
  <c r="N16" i="7" s="1"/>
  <c r="G16" i="7"/>
  <c r="H16" i="7" s="1"/>
  <c r="J15" i="7"/>
  <c r="L15" i="7" s="1"/>
  <c r="H15" i="7"/>
  <c r="G15" i="7"/>
  <c r="J14" i="7"/>
  <c r="L14" i="7" s="1"/>
  <c r="P14" i="7" s="1"/>
  <c r="Q14" i="7" s="1"/>
  <c r="R14" i="7" s="1"/>
  <c r="G14" i="7"/>
  <c r="H14" i="7" s="1"/>
  <c r="J13" i="7"/>
  <c r="L13" i="7" s="1"/>
  <c r="G13" i="7"/>
  <c r="H13" i="7" s="1"/>
  <c r="P12" i="7"/>
  <c r="Q12" i="7" s="1"/>
  <c r="R12" i="7" s="1"/>
  <c r="J12" i="7"/>
  <c r="L12" i="7" s="1"/>
  <c r="M12" i="7" s="1"/>
  <c r="N12" i="7" s="1"/>
  <c r="H12" i="7"/>
  <c r="G12" i="7"/>
  <c r="J11" i="7"/>
  <c r="L11" i="7" s="1"/>
  <c r="M11" i="7" s="1"/>
  <c r="N11" i="7" s="1"/>
  <c r="G11" i="7"/>
  <c r="H11" i="7" s="1"/>
  <c r="P10" i="7"/>
  <c r="Q10" i="7" s="1"/>
  <c r="R10" i="7" s="1"/>
  <c r="L10" i="7"/>
  <c r="M10" i="7" s="1"/>
  <c r="N10" i="7" s="1"/>
  <c r="J10" i="7"/>
  <c r="G10" i="7"/>
  <c r="H10" i="7" s="1"/>
  <c r="P9" i="7"/>
  <c r="Q9" i="7" s="1"/>
  <c r="R9" i="7" s="1"/>
  <c r="J9" i="7"/>
  <c r="L9" i="7" s="1"/>
  <c r="M9" i="7" s="1"/>
  <c r="N9" i="7" s="1"/>
  <c r="G9" i="7"/>
  <c r="H9" i="7" s="1"/>
  <c r="Q8" i="7"/>
  <c r="R8" i="7" s="1"/>
  <c r="P8" i="7"/>
  <c r="N8" i="7"/>
  <c r="J8" i="7"/>
  <c r="L8" i="7" s="1"/>
  <c r="M8" i="7" s="1"/>
  <c r="G8" i="7"/>
  <c r="H8" i="7" s="1"/>
  <c r="L7" i="7"/>
  <c r="M7" i="7" s="1"/>
  <c r="N7" i="7" s="1"/>
  <c r="J7" i="7"/>
  <c r="G7" i="7"/>
  <c r="H7" i="7" s="1"/>
  <c r="J6" i="7"/>
  <c r="L6" i="7" s="1"/>
  <c r="H6" i="7"/>
  <c r="G6" i="7"/>
  <c r="L5" i="7"/>
  <c r="J5" i="7"/>
  <c r="G5" i="7"/>
  <c r="H5" i="7" s="1"/>
  <c r="J4" i="7"/>
  <c r="L4" i="7" s="1"/>
  <c r="P4" i="7" s="1"/>
  <c r="Q4" i="7" s="1"/>
  <c r="R4" i="7" s="1"/>
  <c r="H4" i="7"/>
  <c r="G4" i="7"/>
  <c r="J3" i="7"/>
  <c r="L3" i="7" s="1"/>
  <c r="G3" i="7"/>
  <c r="H3" i="7" s="1"/>
  <c r="L2" i="7"/>
  <c r="P2" i="7" s="1"/>
  <c r="Q2" i="7" s="1"/>
  <c r="R2" i="7" s="1"/>
  <c r="J2" i="7"/>
  <c r="G2" i="7"/>
  <c r="H2" i="7" s="1"/>
  <c r="R1" i="7"/>
  <c r="Q1" i="7"/>
  <c r="K2" i="6"/>
  <c r="M2" i="6" s="1"/>
  <c r="I2" i="6"/>
  <c r="H2" i="6"/>
  <c r="K2" i="5"/>
  <c r="M2" i="5" s="1"/>
  <c r="I2" i="5"/>
  <c r="H2" i="5"/>
  <c r="K5" i="4"/>
  <c r="H5" i="4"/>
  <c r="I5" i="4" s="1"/>
  <c r="M4" i="4"/>
  <c r="L4" i="4"/>
  <c r="K4" i="4"/>
  <c r="I4" i="4"/>
  <c r="H4" i="4"/>
  <c r="M3" i="4"/>
  <c r="Q3" i="4" s="1"/>
  <c r="R3" i="4" s="1"/>
  <c r="S3" i="4" s="1"/>
  <c r="L3" i="4"/>
  <c r="K3" i="4"/>
  <c r="H3" i="4"/>
  <c r="I3" i="4" s="1"/>
  <c r="K2" i="4"/>
  <c r="H2" i="4"/>
  <c r="I2" i="4" s="1"/>
  <c r="S1" i="4"/>
  <c r="R1" i="4"/>
  <c r="J6" i="2"/>
  <c r="G6" i="2"/>
  <c r="H6" i="2" s="1"/>
  <c r="J5" i="2"/>
  <c r="L5" i="2" s="1"/>
  <c r="G5" i="2"/>
  <c r="H5" i="2" s="1"/>
  <c r="J4" i="2"/>
  <c r="H4" i="2"/>
  <c r="G4" i="2"/>
  <c r="P3" i="2"/>
  <c r="Q3" i="2" s="1"/>
  <c r="R3" i="2" s="1"/>
  <c r="L3" i="2"/>
  <c r="M3" i="2" s="1"/>
  <c r="N3" i="2" s="1"/>
  <c r="K3" i="2"/>
  <c r="J3" i="2"/>
  <c r="G3" i="2"/>
  <c r="H3" i="2" s="1"/>
  <c r="J2" i="2"/>
  <c r="L2" i="2" s="1"/>
  <c r="P2" i="2" s="1"/>
  <c r="G2" i="2"/>
  <c r="H2" i="2" s="1"/>
  <c r="Q1" i="2"/>
  <c r="R1" i="2" s="1"/>
  <c r="J66" i="1"/>
  <c r="L66" i="1" s="1"/>
  <c r="G66" i="1"/>
  <c r="H66" i="1" s="1"/>
  <c r="L65" i="1"/>
  <c r="M65" i="1" s="1"/>
  <c r="N65" i="1" s="1"/>
  <c r="J65" i="1"/>
  <c r="G65" i="1"/>
  <c r="H65" i="1" s="1"/>
  <c r="J64" i="1"/>
  <c r="L64" i="1" s="1"/>
  <c r="G64" i="1"/>
  <c r="H64" i="1" s="1"/>
  <c r="J63" i="1"/>
  <c r="L63" i="1" s="1"/>
  <c r="G63" i="1"/>
  <c r="H63" i="1" s="1"/>
  <c r="G62" i="1"/>
  <c r="H62" i="1" s="1"/>
  <c r="J61" i="1"/>
  <c r="L61" i="1" s="1"/>
  <c r="G61" i="1"/>
  <c r="H61" i="1" s="1"/>
  <c r="J60" i="1"/>
  <c r="L60" i="1" s="1"/>
  <c r="K60" i="1" s="1"/>
  <c r="J59" i="1"/>
  <c r="L59" i="1" s="1"/>
  <c r="M59" i="1" s="1"/>
  <c r="N59" i="1" s="1"/>
  <c r="L58" i="1"/>
  <c r="J58" i="1"/>
  <c r="G58" i="1"/>
  <c r="H58" i="1" s="1"/>
  <c r="L57" i="1"/>
  <c r="J57" i="1"/>
  <c r="G57" i="1"/>
  <c r="H57" i="1" s="1"/>
  <c r="J56" i="1"/>
  <c r="L56" i="1" s="1"/>
  <c r="G56" i="1"/>
  <c r="H56" i="1" s="1"/>
  <c r="G55" i="1"/>
  <c r="H55" i="1" s="1"/>
  <c r="J54" i="1"/>
  <c r="L54" i="1" s="1"/>
  <c r="G54" i="1"/>
  <c r="H54" i="1" s="1"/>
  <c r="J53" i="1"/>
  <c r="L53" i="1" s="1"/>
  <c r="G53" i="1"/>
  <c r="H53" i="1" s="1"/>
  <c r="G52" i="1"/>
  <c r="H52" i="1" s="1"/>
  <c r="J52" i="1"/>
  <c r="L52" i="1" s="1"/>
  <c r="K52" i="1" s="1"/>
  <c r="J51" i="1"/>
  <c r="L51" i="1" s="1"/>
  <c r="G51" i="1"/>
  <c r="H51" i="1" s="1"/>
  <c r="J50" i="1"/>
  <c r="L50" i="1" s="1"/>
  <c r="K50" i="1" s="1"/>
  <c r="G50" i="1"/>
  <c r="H50" i="1" s="1"/>
  <c r="L49" i="1"/>
  <c r="J49" i="1"/>
  <c r="G49" i="1"/>
  <c r="H49" i="1" s="1"/>
  <c r="J48" i="1"/>
  <c r="L48" i="1" s="1"/>
  <c r="G48" i="1"/>
  <c r="H48" i="1" s="1"/>
  <c r="J47" i="1"/>
  <c r="L47" i="1" s="1"/>
  <c r="G47" i="1"/>
  <c r="H47" i="1" s="1"/>
  <c r="J46" i="1"/>
  <c r="L46" i="1" s="1"/>
  <c r="K46" i="1" s="1"/>
  <c r="G46" i="1"/>
  <c r="H46" i="1" s="1"/>
  <c r="L45" i="1"/>
  <c r="P45" i="1" s="1"/>
  <c r="J45" i="1"/>
  <c r="G45" i="1"/>
  <c r="H45" i="1" s="1"/>
  <c r="J44" i="1"/>
  <c r="G44" i="1"/>
  <c r="H44" i="1" s="1"/>
  <c r="J43" i="1"/>
  <c r="G43" i="1"/>
  <c r="H43" i="1" s="1"/>
  <c r="J42" i="1"/>
  <c r="L42" i="1" s="1"/>
  <c r="G42" i="1"/>
  <c r="H42" i="1" s="1"/>
  <c r="J41" i="1"/>
  <c r="L41" i="1"/>
  <c r="J40" i="1"/>
  <c r="G40" i="1"/>
  <c r="H40" i="1" s="1"/>
  <c r="J39" i="1"/>
  <c r="L39" i="1" s="1"/>
  <c r="G39" i="1"/>
  <c r="H39" i="1" s="1"/>
  <c r="J38" i="1"/>
  <c r="G38" i="1"/>
  <c r="H38" i="1" s="1"/>
  <c r="L37" i="1"/>
  <c r="J37" i="1"/>
  <c r="G37" i="1"/>
  <c r="H37" i="1" s="1"/>
  <c r="L36" i="1"/>
  <c r="P36" i="1" s="1"/>
  <c r="J36" i="1"/>
  <c r="G36" i="1"/>
  <c r="H36" i="1" s="1"/>
  <c r="J35" i="1"/>
  <c r="L35" i="1" s="1"/>
  <c r="M35" i="1" s="1"/>
  <c r="N35" i="1" s="1"/>
  <c r="G35" i="1"/>
  <c r="H35" i="1" s="1"/>
  <c r="L34" i="1"/>
  <c r="P34" i="1" s="1"/>
  <c r="J34" i="1"/>
  <c r="G34" i="1"/>
  <c r="H34" i="1" s="1"/>
  <c r="J33" i="1"/>
  <c r="L33" i="1"/>
  <c r="K33" i="1" s="1"/>
  <c r="J32" i="1"/>
  <c r="G32" i="1"/>
  <c r="H32" i="1" s="1"/>
  <c r="J31" i="1"/>
  <c r="G31" i="1"/>
  <c r="H31" i="1" s="1"/>
  <c r="J30" i="1"/>
  <c r="G30" i="1"/>
  <c r="H30" i="1" s="1"/>
  <c r="J29" i="1"/>
  <c r="L29" i="1" s="1"/>
  <c r="G29" i="1"/>
  <c r="H29" i="1" s="1"/>
  <c r="J28" i="1"/>
  <c r="L28" i="1"/>
  <c r="J27" i="1"/>
  <c r="L27" i="1" s="1"/>
  <c r="K27" i="1" s="1"/>
  <c r="G27" i="1"/>
  <c r="H27" i="1" s="1"/>
  <c r="J26" i="1"/>
  <c r="L26" i="1" s="1"/>
  <c r="G26" i="1"/>
  <c r="H26" i="1" s="1"/>
  <c r="L25" i="1"/>
  <c r="K25" i="1" s="1"/>
  <c r="J25" i="1"/>
  <c r="G25" i="1"/>
  <c r="H25" i="1" s="1"/>
  <c r="J24" i="1"/>
  <c r="G24" i="1"/>
  <c r="H24" i="1" s="1"/>
  <c r="L23" i="1"/>
  <c r="K23" i="1" s="1"/>
  <c r="J23" i="1"/>
  <c r="G23" i="1"/>
  <c r="H23" i="1" s="1"/>
  <c r="J22" i="1"/>
  <c r="G22" i="1"/>
  <c r="H22" i="1" s="1"/>
  <c r="L21" i="1"/>
  <c r="J21" i="1"/>
  <c r="G21" i="1"/>
  <c r="H21" i="1" s="1"/>
  <c r="J20" i="1"/>
  <c r="G20" i="1"/>
  <c r="H20" i="1" s="1"/>
  <c r="L20" i="1"/>
  <c r="P20" i="1" s="1"/>
  <c r="J19" i="1"/>
  <c r="G19" i="1"/>
  <c r="H19" i="1" s="1"/>
  <c r="J18" i="1"/>
  <c r="L18" i="1" s="1"/>
  <c r="K18" i="1" s="1"/>
  <c r="G18" i="1"/>
  <c r="H18" i="1" s="1"/>
  <c r="L17" i="1"/>
  <c r="J17" i="1"/>
  <c r="G17" i="1"/>
  <c r="H17" i="1" s="1"/>
  <c r="J16" i="1"/>
  <c r="L16" i="1" s="1"/>
  <c r="G16" i="1"/>
  <c r="H16" i="1" s="1"/>
  <c r="J15" i="1"/>
  <c r="L15" i="1" s="1"/>
  <c r="G15" i="1"/>
  <c r="H15" i="1" s="1"/>
  <c r="J14" i="1"/>
  <c r="L14" i="1" s="1"/>
  <c r="K14" i="1" s="1"/>
  <c r="G14" i="1"/>
  <c r="H14" i="1" s="1"/>
  <c r="L13" i="1"/>
  <c r="P13" i="1" s="1"/>
  <c r="J13" i="1"/>
  <c r="G13" i="1"/>
  <c r="H13" i="1" s="1"/>
  <c r="J12" i="1"/>
  <c r="G12" i="1"/>
  <c r="H12" i="1" s="1"/>
  <c r="J11" i="1"/>
  <c r="G11" i="1"/>
  <c r="H11" i="1" s="1"/>
  <c r="J10" i="1"/>
  <c r="L10" i="1" s="1"/>
  <c r="G10" i="1"/>
  <c r="H10" i="1" s="1"/>
  <c r="J9" i="1"/>
  <c r="L9" i="1"/>
  <c r="P9" i="1" s="1"/>
  <c r="J8" i="1"/>
  <c r="G8" i="1"/>
  <c r="H8" i="1" s="1"/>
  <c r="J7" i="1"/>
  <c r="L7" i="1" s="1"/>
  <c r="G7" i="1"/>
  <c r="H7" i="1" s="1"/>
  <c r="J6" i="1"/>
  <c r="G6" i="1"/>
  <c r="H6" i="1" s="1"/>
  <c r="L5" i="1"/>
  <c r="J5" i="1"/>
  <c r="G5" i="1"/>
  <c r="H5" i="1" s="1"/>
  <c r="L4" i="1"/>
  <c r="Q4" i="1" s="1"/>
  <c r="R4" i="1" s="1"/>
  <c r="J4" i="1"/>
  <c r="G4" i="1"/>
  <c r="H4" i="1" s="1"/>
  <c r="J3" i="1"/>
  <c r="L3" i="1" s="1"/>
  <c r="M3" i="1" s="1"/>
  <c r="N3" i="1" s="1"/>
  <c r="G3" i="1"/>
  <c r="H3" i="1" s="1"/>
  <c r="T2" i="1"/>
  <c r="U2" i="1" s="1"/>
  <c r="L2" i="1"/>
  <c r="P2" i="1" s="1"/>
  <c r="J2" i="1"/>
  <c r="G2" i="1"/>
  <c r="H2" i="1" s="1"/>
  <c r="Q1" i="1"/>
  <c r="R1" i="1" s="1"/>
  <c r="J140" i="3"/>
  <c r="L140" i="3" s="1"/>
  <c r="H140" i="3"/>
  <c r="G140" i="3"/>
  <c r="J139" i="3"/>
  <c r="L139" i="3" s="1"/>
  <c r="G139" i="3"/>
  <c r="H139" i="3" s="1"/>
  <c r="L138" i="3"/>
  <c r="J138" i="3"/>
  <c r="H138" i="3"/>
  <c r="G138" i="3"/>
  <c r="J137" i="3"/>
  <c r="L137" i="3" s="1"/>
  <c r="G137" i="3"/>
  <c r="H137" i="3" s="1"/>
  <c r="J136" i="3"/>
  <c r="L136" i="3" s="1"/>
  <c r="H136" i="3"/>
  <c r="G136" i="3"/>
  <c r="J135" i="3"/>
  <c r="L135" i="3" s="1"/>
  <c r="H135" i="3"/>
  <c r="G135" i="3"/>
  <c r="Z134" i="3"/>
  <c r="Q134" i="3"/>
  <c r="R134" i="3" s="1"/>
  <c r="M134" i="3"/>
  <c r="N134" i="3" s="1"/>
  <c r="L134" i="3"/>
  <c r="P134" i="3" s="1"/>
  <c r="J134" i="3"/>
  <c r="H134" i="3"/>
  <c r="G134" i="3"/>
  <c r="Z133" i="3"/>
  <c r="P133" i="3"/>
  <c r="Q133" i="3" s="1"/>
  <c r="R133" i="3" s="1"/>
  <c r="M133" i="3"/>
  <c r="N133" i="3" s="1"/>
  <c r="L133" i="3"/>
  <c r="G133" i="3"/>
  <c r="H133" i="3" s="1"/>
  <c r="Z132" i="3"/>
  <c r="L132" i="3"/>
  <c r="M132" i="3" s="1"/>
  <c r="N132" i="3" s="1"/>
  <c r="H132" i="3"/>
  <c r="G132" i="3"/>
  <c r="Z131" i="3"/>
  <c r="L131" i="3"/>
  <c r="P131" i="3" s="1"/>
  <c r="Q131" i="3" s="1"/>
  <c r="R131" i="3" s="1"/>
  <c r="G131" i="3"/>
  <c r="H131" i="3" s="1"/>
  <c r="Z130" i="3"/>
  <c r="P130" i="3"/>
  <c r="Q130" i="3" s="1"/>
  <c r="R130" i="3" s="1"/>
  <c r="M130" i="3"/>
  <c r="N130" i="3" s="1"/>
  <c r="L130" i="3"/>
  <c r="G130" i="3"/>
  <c r="H130" i="3" s="1"/>
  <c r="Z129" i="3"/>
  <c r="P129" i="3"/>
  <c r="Q129" i="3" s="1"/>
  <c r="R129" i="3" s="1"/>
  <c r="L129" i="3"/>
  <c r="M129" i="3" s="1"/>
  <c r="N129" i="3" s="1"/>
  <c r="G129" i="3"/>
  <c r="H129" i="3" s="1"/>
  <c r="Z128" i="3"/>
  <c r="L128" i="3"/>
  <c r="M128" i="3" s="1"/>
  <c r="N128" i="3" s="1"/>
  <c r="G128" i="3"/>
  <c r="H128" i="3" s="1"/>
  <c r="Z127" i="3"/>
  <c r="L127" i="3"/>
  <c r="P127" i="3" s="1"/>
  <c r="Q127" i="3" s="1"/>
  <c r="R127" i="3" s="1"/>
  <c r="J127" i="3"/>
  <c r="G127" i="3"/>
  <c r="H127" i="3" s="1"/>
  <c r="Z126" i="3"/>
  <c r="J126" i="3"/>
  <c r="L126" i="3" s="1"/>
  <c r="H126" i="3"/>
  <c r="G126" i="3"/>
  <c r="Z125" i="3"/>
  <c r="L125" i="3"/>
  <c r="P125" i="3" s="1"/>
  <c r="Q125" i="3" s="1"/>
  <c r="R125" i="3" s="1"/>
  <c r="J125" i="3"/>
  <c r="G125" i="3"/>
  <c r="H125" i="3" s="1"/>
  <c r="Z124" i="3"/>
  <c r="J124" i="3"/>
  <c r="L124" i="3" s="1"/>
  <c r="M124" i="3" s="1"/>
  <c r="N124" i="3" s="1"/>
  <c r="G124" i="3"/>
  <c r="H124" i="3" s="1"/>
  <c r="Z123" i="3"/>
  <c r="J123" i="3"/>
  <c r="L123" i="3" s="1"/>
  <c r="G123" i="3"/>
  <c r="H123" i="3" s="1"/>
  <c r="Z122" i="3"/>
  <c r="J122" i="3"/>
  <c r="L122" i="3" s="1"/>
  <c r="H122" i="3"/>
  <c r="G122" i="3"/>
  <c r="Z121" i="3"/>
  <c r="P121" i="3"/>
  <c r="Q121" i="3" s="1"/>
  <c r="R121" i="3" s="1"/>
  <c r="L121" i="3"/>
  <c r="M121" i="3" s="1"/>
  <c r="N121" i="3" s="1"/>
  <c r="J121" i="3"/>
  <c r="G121" i="3"/>
  <c r="H121" i="3" s="1"/>
  <c r="Z120" i="3"/>
  <c r="J120" i="3"/>
  <c r="L120" i="3" s="1"/>
  <c r="M120" i="3" s="1"/>
  <c r="N120" i="3" s="1"/>
  <c r="H120" i="3"/>
  <c r="G120" i="3"/>
  <c r="Z119" i="3"/>
  <c r="J119" i="3"/>
  <c r="L119" i="3" s="1"/>
  <c r="H119" i="3"/>
  <c r="G119" i="3"/>
  <c r="Z118" i="3"/>
  <c r="P118" i="3"/>
  <c r="Q118" i="3" s="1"/>
  <c r="R118" i="3" s="1"/>
  <c r="N118" i="3"/>
  <c r="M118" i="3"/>
  <c r="J118" i="3"/>
  <c r="G118" i="3"/>
  <c r="H118" i="3" s="1"/>
  <c r="Z117" i="3"/>
  <c r="P117" i="3"/>
  <c r="Q117" i="3" s="1"/>
  <c r="R117" i="3" s="1"/>
  <c r="M117" i="3"/>
  <c r="N117" i="3" s="1"/>
  <c r="J117" i="3"/>
  <c r="H117" i="3"/>
  <c r="G117" i="3"/>
  <c r="Z116" i="3"/>
  <c r="P116" i="3"/>
  <c r="Q116" i="3" s="1"/>
  <c r="R116" i="3" s="1"/>
  <c r="M116" i="3"/>
  <c r="N116" i="3" s="1"/>
  <c r="L116" i="3"/>
  <c r="J116" i="3"/>
  <c r="G116" i="3"/>
  <c r="H116" i="3" s="1"/>
  <c r="Z115" i="3"/>
  <c r="P115" i="3"/>
  <c r="Q115" i="3" s="1"/>
  <c r="R115" i="3" s="1"/>
  <c r="N115" i="3"/>
  <c r="J115" i="3"/>
  <c r="L115" i="3" s="1"/>
  <c r="M115" i="3" s="1"/>
  <c r="H115" i="3"/>
  <c r="G115" i="3"/>
  <c r="Z114" i="3"/>
  <c r="L114" i="3"/>
  <c r="P114" i="3" s="1"/>
  <c r="Q114" i="3" s="1"/>
  <c r="R114" i="3" s="1"/>
  <c r="J114" i="3"/>
  <c r="H114" i="3"/>
  <c r="G114" i="3"/>
  <c r="Z113" i="3"/>
  <c r="L113" i="3"/>
  <c r="M113" i="3" s="1"/>
  <c r="N113" i="3" s="1"/>
  <c r="J113" i="3"/>
  <c r="H113" i="3"/>
  <c r="G113" i="3"/>
  <c r="Z112" i="3"/>
  <c r="P112" i="3"/>
  <c r="Q112" i="3" s="1"/>
  <c r="R112" i="3" s="1"/>
  <c r="N112" i="3"/>
  <c r="M112" i="3"/>
  <c r="L112" i="3"/>
  <c r="G112" i="3"/>
  <c r="H112" i="3" s="1"/>
  <c r="Z111" i="3"/>
  <c r="P111" i="3"/>
  <c r="Q111" i="3" s="1"/>
  <c r="R111" i="3" s="1"/>
  <c r="N111" i="3"/>
  <c r="M111" i="3"/>
  <c r="L111" i="3"/>
  <c r="G111" i="3"/>
  <c r="H111" i="3" s="1"/>
  <c r="Z110" i="3"/>
  <c r="P110" i="3"/>
  <c r="Q110" i="3" s="1"/>
  <c r="R110" i="3" s="1"/>
  <c r="N110" i="3"/>
  <c r="L110" i="3"/>
  <c r="M110" i="3" s="1"/>
  <c r="H110" i="3"/>
  <c r="G110" i="3"/>
  <c r="Z109" i="3"/>
  <c r="L109" i="3"/>
  <c r="M109" i="3" s="1"/>
  <c r="N109" i="3" s="1"/>
  <c r="H109" i="3"/>
  <c r="G109" i="3"/>
  <c r="Z108" i="3"/>
  <c r="L108" i="3"/>
  <c r="P108" i="3" s="1"/>
  <c r="Q108" i="3" s="1"/>
  <c r="R108" i="3" s="1"/>
  <c r="G108" i="3"/>
  <c r="H108" i="3" s="1"/>
  <c r="Z107" i="3"/>
  <c r="L107" i="3"/>
  <c r="P107" i="3" s="1"/>
  <c r="Q107" i="3" s="1"/>
  <c r="R107" i="3" s="1"/>
  <c r="G107" i="3"/>
  <c r="H107" i="3" s="1"/>
  <c r="Z106" i="3"/>
  <c r="L106" i="3"/>
  <c r="M106" i="3" s="1"/>
  <c r="N106" i="3" s="1"/>
  <c r="H106" i="3"/>
  <c r="G106" i="3"/>
  <c r="Z105" i="3"/>
  <c r="L105" i="3"/>
  <c r="M105" i="3" s="1"/>
  <c r="N105" i="3" s="1"/>
  <c r="H105" i="3"/>
  <c r="G105" i="3"/>
  <c r="Z104" i="3"/>
  <c r="L104" i="3"/>
  <c r="P104" i="3" s="1"/>
  <c r="Q104" i="3" s="1"/>
  <c r="R104" i="3" s="1"/>
  <c r="H104" i="3"/>
  <c r="G104" i="3"/>
  <c r="Z103" i="3"/>
  <c r="R103" i="3"/>
  <c r="P103" i="3"/>
  <c r="Q103" i="3" s="1"/>
  <c r="M103" i="3"/>
  <c r="N103" i="3" s="1"/>
  <c r="L103" i="3"/>
  <c r="G103" i="3"/>
  <c r="H103" i="3" s="1"/>
  <c r="Z102" i="3"/>
  <c r="R102" i="3"/>
  <c r="P102" i="3"/>
  <c r="Q102" i="3" s="1"/>
  <c r="N102" i="3"/>
  <c r="M102" i="3"/>
  <c r="L102" i="3"/>
  <c r="G102" i="3"/>
  <c r="H102" i="3" s="1"/>
  <c r="Z101" i="3"/>
  <c r="P101" i="3"/>
  <c r="Q101" i="3" s="1"/>
  <c r="R101" i="3" s="1"/>
  <c r="L101" i="3"/>
  <c r="M101" i="3" s="1"/>
  <c r="N101" i="3" s="1"/>
  <c r="G101" i="3"/>
  <c r="H101" i="3" s="1"/>
  <c r="Z100" i="3"/>
  <c r="L100" i="3"/>
  <c r="G100" i="3"/>
  <c r="H100" i="3" s="1"/>
  <c r="Z99" i="3"/>
  <c r="R99" i="3"/>
  <c r="L99" i="3"/>
  <c r="P99" i="3" s="1"/>
  <c r="Q99" i="3" s="1"/>
  <c r="G99" i="3"/>
  <c r="H99" i="3" s="1"/>
  <c r="Z98" i="3"/>
  <c r="P98" i="3"/>
  <c r="Q98" i="3" s="1"/>
  <c r="R98" i="3" s="1"/>
  <c r="N98" i="3"/>
  <c r="M98" i="3"/>
  <c r="L98" i="3"/>
  <c r="G98" i="3"/>
  <c r="H98" i="3" s="1"/>
  <c r="Z97" i="3"/>
  <c r="P97" i="3"/>
  <c r="Q97" i="3" s="1"/>
  <c r="R97" i="3" s="1"/>
  <c r="N97" i="3"/>
  <c r="M97" i="3"/>
  <c r="L97" i="3"/>
  <c r="H97" i="3"/>
  <c r="G97" i="3"/>
  <c r="Z96" i="3"/>
  <c r="P96" i="3"/>
  <c r="Q96" i="3" s="1"/>
  <c r="R96" i="3" s="1"/>
  <c r="N96" i="3"/>
  <c r="L96" i="3"/>
  <c r="M96" i="3" s="1"/>
  <c r="G96" i="3"/>
  <c r="H96" i="3" s="1"/>
  <c r="Z95" i="3"/>
  <c r="P95" i="3"/>
  <c r="Q95" i="3" s="1"/>
  <c r="R95" i="3" s="1"/>
  <c r="N95" i="3"/>
  <c r="M95" i="3"/>
  <c r="L95" i="3"/>
  <c r="G95" i="3"/>
  <c r="H95" i="3" s="1"/>
  <c r="Z94" i="3"/>
  <c r="P94" i="3"/>
  <c r="Q94" i="3" s="1"/>
  <c r="R94" i="3" s="1"/>
  <c r="N94" i="3"/>
  <c r="L94" i="3"/>
  <c r="M94" i="3" s="1"/>
  <c r="G94" i="3"/>
  <c r="H94" i="3" s="1"/>
  <c r="Z93" i="3"/>
  <c r="L93" i="3"/>
  <c r="M93" i="3" s="1"/>
  <c r="N93" i="3" s="1"/>
  <c r="G93" i="3"/>
  <c r="H93" i="3" s="1"/>
  <c r="Z92" i="3"/>
  <c r="L92" i="3"/>
  <c r="P92" i="3" s="1"/>
  <c r="Q92" i="3" s="1"/>
  <c r="R92" i="3" s="1"/>
  <c r="H92" i="3"/>
  <c r="G92" i="3"/>
  <c r="Z91" i="3"/>
  <c r="J91" i="3"/>
  <c r="L91" i="3" s="1"/>
  <c r="H91" i="3"/>
  <c r="G91" i="3"/>
  <c r="Z90" i="3"/>
  <c r="J90" i="3"/>
  <c r="L90" i="3" s="1"/>
  <c r="H90" i="3"/>
  <c r="G90" i="3"/>
  <c r="Z89" i="3"/>
  <c r="P89" i="3"/>
  <c r="Q89" i="3" s="1"/>
  <c r="R89" i="3" s="1"/>
  <c r="M89" i="3"/>
  <c r="N89" i="3" s="1"/>
  <c r="L89" i="3"/>
  <c r="J89" i="3"/>
  <c r="H89" i="3"/>
  <c r="G89" i="3"/>
  <c r="Z88" i="3"/>
  <c r="J88" i="3"/>
  <c r="L88" i="3" s="1"/>
  <c r="M88" i="3" s="1"/>
  <c r="N88" i="3" s="1"/>
  <c r="H88" i="3"/>
  <c r="G88" i="3"/>
  <c r="Z87" i="3"/>
  <c r="J87" i="3"/>
  <c r="L87" i="3" s="1"/>
  <c r="P87" i="3" s="1"/>
  <c r="Q87" i="3" s="1"/>
  <c r="R87" i="3" s="1"/>
  <c r="G87" i="3"/>
  <c r="H87" i="3" s="1"/>
  <c r="Z86" i="3"/>
  <c r="J86" i="3"/>
  <c r="L86" i="3" s="1"/>
  <c r="M86" i="3" s="1"/>
  <c r="N86" i="3" s="1"/>
  <c r="H86" i="3"/>
  <c r="G86" i="3"/>
  <c r="Z85" i="3"/>
  <c r="R85" i="3"/>
  <c r="Q85" i="3"/>
  <c r="P85" i="3"/>
  <c r="M85" i="3"/>
  <c r="N85" i="3" s="1"/>
  <c r="L85" i="3"/>
  <c r="J85" i="3"/>
  <c r="G85" i="3"/>
  <c r="H85" i="3" s="1"/>
  <c r="Z84" i="3"/>
  <c r="J84" i="3"/>
  <c r="L84" i="3" s="1"/>
  <c r="G84" i="3"/>
  <c r="H84" i="3" s="1"/>
  <c r="Z83" i="3"/>
  <c r="M83" i="3"/>
  <c r="N83" i="3" s="1"/>
  <c r="L83" i="3"/>
  <c r="P83" i="3" s="1"/>
  <c r="Q83" i="3" s="1"/>
  <c r="R83" i="3" s="1"/>
  <c r="J83" i="3"/>
  <c r="G83" i="3"/>
  <c r="H83" i="3" s="1"/>
  <c r="Z82" i="3"/>
  <c r="L82" i="3"/>
  <c r="P82" i="3" s="1"/>
  <c r="Q82" i="3" s="1"/>
  <c r="R82" i="3" s="1"/>
  <c r="J82" i="3"/>
  <c r="H82" i="3"/>
  <c r="G82" i="3"/>
  <c r="Z81" i="3"/>
  <c r="P81" i="3"/>
  <c r="Q81" i="3" s="1"/>
  <c r="R81" i="3" s="1"/>
  <c r="M81" i="3"/>
  <c r="N81" i="3" s="1"/>
  <c r="L81" i="3"/>
  <c r="J81" i="3"/>
  <c r="G81" i="3"/>
  <c r="H81" i="3" s="1"/>
  <c r="Z80" i="3"/>
  <c r="L80" i="3"/>
  <c r="M80" i="3" s="1"/>
  <c r="N80" i="3" s="1"/>
  <c r="J80" i="3"/>
  <c r="G80" i="3"/>
  <c r="H80" i="3" s="1"/>
  <c r="Z79" i="3"/>
  <c r="J79" i="3"/>
  <c r="L79" i="3" s="1"/>
  <c r="G79" i="3"/>
  <c r="H79" i="3" s="1"/>
  <c r="Z78" i="3"/>
  <c r="L78" i="3"/>
  <c r="P78" i="3" s="1"/>
  <c r="Q78" i="3" s="1"/>
  <c r="R78" i="3" s="1"/>
  <c r="J78" i="3"/>
  <c r="H78" i="3"/>
  <c r="G78" i="3"/>
  <c r="Z77" i="3"/>
  <c r="P77" i="3"/>
  <c r="Q77" i="3" s="1"/>
  <c r="R77" i="3" s="1"/>
  <c r="L77" i="3"/>
  <c r="M77" i="3" s="1"/>
  <c r="N77" i="3" s="1"/>
  <c r="J77" i="3"/>
  <c r="G77" i="3"/>
  <c r="H77" i="3" s="1"/>
  <c r="Z76" i="3"/>
  <c r="J76" i="3"/>
  <c r="L76" i="3" s="1"/>
  <c r="H76" i="3"/>
  <c r="G76" i="3"/>
  <c r="Z75" i="3"/>
  <c r="J75" i="3"/>
  <c r="L75" i="3" s="1"/>
  <c r="H75" i="3"/>
  <c r="G75" i="3"/>
  <c r="Z74" i="3"/>
  <c r="J74" i="3"/>
  <c r="L74" i="3" s="1"/>
  <c r="H74" i="3"/>
  <c r="G74" i="3"/>
  <c r="Z73" i="3"/>
  <c r="L73" i="3"/>
  <c r="M73" i="3" s="1"/>
  <c r="N73" i="3" s="1"/>
  <c r="J73" i="3"/>
  <c r="G73" i="3"/>
  <c r="H73" i="3" s="1"/>
  <c r="Z72" i="3"/>
  <c r="L72" i="3"/>
  <c r="M72" i="3" s="1"/>
  <c r="N72" i="3" s="1"/>
  <c r="J72" i="3"/>
  <c r="G72" i="3"/>
  <c r="H72" i="3" s="1"/>
  <c r="Z71" i="3"/>
  <c r="J71" i="3"/>
  <c r="L71" i="3" s="1"/>
  <c r="P71" i="3" s="1"/>
  <c r="Q71" i="3" s="1"/>
  <c r="R71" i="3" s="1"/>
  <c r="G71" i="3"/>
  <c r="H71" i="3" s="1"/>
  <c r="Z70" i="3"/>
  <c r="J70" i="3"/>
  <c r="L70" i="3" s="1"/>
  <c r="M70" i="3" s="1"/>
  <c r="N70" i="3" s="1"/>
  <c r="H70" i="3"/>
  <c r="G70" i="3"/>
  <c r="Z69" i="3"/>
  <c r="L69" i="3"/>
  <c r="P69" i="3" s="1"/>
  <c r="Q69" i="3" s="1"/>
  <c r="R69" i="3" s="1"/>
  <c r="J69" i="3"/>
  <c r="G69" i="3"/>
  <c r="H69" i="3" s="1"/>
  <c r="Z68" i="3"/>
  <c r="J68" i="3"/>
  <c r="L68" i="3" s="1"/>
  <c r="G68" i="3"/>
  <c r="H68" i="3" s="1"/>
  <c r="Z67" i="3"/>
  <c r="J67" i="3"/>
  <c r="L67" i="3" s="1"/>
  <c r="H67" i="3"/>
  <c r="G67" i="3"/>
  <c r="Z66" i="3"/>
  <c r="J66" i="3"/>
  <c r="L66" i="3" s="1"/>
  <c r="H66" i="3"/>
  <c r="G66" i="3"/>
  <c r="Z65" i="3"/>
  <c r="P65" i="3"/>
  <c r="Q65" i="3" s="1"/>
  <c r="R65" i="3" s="1"/>
  <c r="M65" i="3"/>
  <c r="N65" i="3" s="1"/>
  <c r="L65" i="3"/>
  <c r="J65" i="3"/>
  <c r="H65" i="3"/>
  <c r="G65" i="3"/>
  <c r="Z64" i="3"/>
  <c r="J64" i="3"/>
  <c r="L64" i="3" s="1"/>
  <c r="M64" i="3" s="1"/>
  <c r="N64" i="3" s="1"/>
  <c r="G64" i="3"/>
  <c r="H64" i="3" s="1"/>
  <c r="Z63" i="3"/>
  <c r="J63" i="3"/>
  <c r="L63" i="3" s="1"/>
  <c r="G63" i="3"/>
  <c r="H63" i="3" s="1"/>
  <c r="Z62" i="3"/>
  <c r="J62" i="3"/>
  <c r="L62" i="3" s="1"/>
  <c r="H62" i="3"/>
  <c r="G62" i="3"/>
  <c r="Z61" i="3"/>
  <c r="P61" i="3"/>
  <c r="Q61" i="3" s="1"/>
  <c r="R61" i="3" s="1"/>
  <c r="L61" i="3"/>
  <c r="M61" i="3" s="1"/>
  <c r="N61" i="3" s="1"/>
  <c r="J61" i="3"/>
  <c r="H61" i="3"/>
  <c r="G61" i="3"/>
  <c r="Z60" i="3"/>
  <c r="J60" i="3"/>
  <c r="L60" i="3" s="1"/>
  <c r="G60" i="3"/>
  <c r="H60" i="3" s="1"/>
  <c r="Z59" i="3"/>
  <c r="L59" i="3"/>
  <c r="P59" i="3" s="1"/>
  <c r="Q59" i="3" s="1"/>
  <c r="R59" i="3" s="1"/>
  <c r="J59" i="3"/>
  <c r="G59" i="3"/>
  <c r="H59" i="3" s="1"/>
  <c r="Z58" i="3"/>
  <c r="J58" i="3"/>
  <c r="L58" i="3" s="1"/>
  <c r="P58" i="3" s="1"/>
  <c r="Q58" i="3" s="1"/>
  <c r="R58" i="3" s="1"/>
  <c r="H58" i="3"/>
  <c r="G58" i="3"/>
  <c r="Z57" i="3"/>
  <c r="L57" i="3"/>
  <c r="M57" i="3" s="1"/>
  <c r="N57" i="3" s="1"/>
  <c r="J57" i="3"/>
  <c r="G57" i="3"/>
  <c r="H57" i="3" s="1"/>
  <c r="Z56" i="3"/>
  <c r="J56" i="3"/>
  <c r="L56" i="3" s="1"/>
  <c r="G56" i="3"/>
  <c r="H56" i="3" s="1"/>
  <c r="Z55" i="3"/>
  <c r="M55" i="3"/>
  <c r="N55" i="3" s="1"/>
  <c r="L55" i="3"/>
  <c r="P55" i="3" s="1"/>
  <c r="Q55" i="3" s="1"/>
  <c r="R55" i="3" s="1"/>
  <c r="J55" i="3"/>
  <c r="G55" i="3"/>
  <c r="H55" i="3" s="1"/>
  <c r="Z54" i="3"/>
  <c r="P54" i="3"/>
  <c r="Q54" i="3" s="1"/>
  <c r="R54" i="3" s="1"/>
  <c r="M54" i="3"/>
  <c r="N54" i="3" s="1"/>
  <c r="L54" i="3"/>
  <c r="J54" i="3"/>
  <c r="H54" i="3"/>
  <c r="G54" i="3"/>
  <c r="Z53" i="3"/>
  <c r="P53" i="3"/>
  <c r="Q53" i="3" s="1"/>
  <c r="R53" i="3" s="1"/>
  <c r="L53" i="3"/>
  <c r="M53" i="3" s="1"/>
  <c r="N53" i="3" s="1"/>
  <c r="J53" i="3"/>
  <c r="G53" i="3"/>
  <c r="H53" i="3" s="1"/>
  <c r="Z52" i="3"/>
  <c r="J52" i="3"/>
  <c r="L52" i="3" s="1"/>
  <c r="M52" i="3" s="1"/>
  <c r="N52" i="3" s="1"/>
  <c r="G52" i="3"/>
  <c r="H52" i="3" s="1"/>
  <c r="Z51" i="3"/>
  <c r="J51" i="3"/>
  <c r="L51" i="3" s="1"/>
  <c r="G51" i="3"/>
  <c r="H51" i="3" s="1"/>
  <c r="Z50" i="3"/>
  <c r="L50" i="3"/>
  <c r="M50" i="3" s="1"/>
  <c r="N50" i="3" s="1"/>
  <c r="J50" i="3"/>
  <c r="H50" i="3"/>
  <c r="G50" i="3"/>
  <c r="Z49" i="3"/>
  <c r="L49" i="3"/>
  <c r="P49" i="3" s="1"/>
  <c r="Q49" i="3" s="1"/>
  <c r="R49" i="3" s="1"/>
  <c r="J49" i="3"/>
  <c r="G49" i="3"/>
  <c r="H49" i="3" s="1"/>
  <c r="Z48" i="3"/>
  <c r="L48" i="3"/>
  <c r="M48" i="3" s="1"/>
  <c r="N48" i="3" s="1"/>
  <c r="J48" i="3"/>
  <c r="H48" i="3"/>
  <c r="G48" i="3"/>
  <c r="Z47" i="3"/>
  <c r="Q47" i="3"/>
  <c r="R47" i="3" s="1"/>
  <c r="M47" i="3"/>
  <c r="N47" i="3" s="1"/>
  <c r="L47" i="3"/>
  <c r="P47" i="3" s="1"/>
  <c r="J47" i="3"/>
  <c r="G47" i="3"/>
  <c r="H47" i="3" s="1"/>
  <c r="Z46" i="3"/>
  <c r="P46" i="3"/>
  <c r="Q46" i="3" s="1"/>
  <c r="R46" i="3" s="1"/>
  <c r="M46" i="3"/>
  <c r="N46" i="3" s="1"/>
  <c r="L46" i="3"/>
  <c r="J46" i="3"/>
  <c r="H46" i="3"/>
  <c r="G46" i="3"/>
  <c r="Z45" i="3"/>
  <c r="P45" i="3"/>
  <c r="Q45" i="3" s="1"/>
  <c r="R45" i="3" s="1"/>
  <c r="N45" i="3"/>
  <c r="L45" i="3"/>
  <c r="M45" i="3" s="1"/>
  <c r="J45" i="3"/>
  <c r="G45" i="3"/>
  <c r="H45" i="3" s="1"/>
  <c r="Z44" i="3"/>
  <c r="L44" i="3"/>
  <c r="J44" i="3"/>
  <c r="G44" i="3"/>
  <c r="H44" i="3" s="1"/>
  <c r="Z43" i="3"/>
  <c r="L43" i="3"/>
  <c r="P43" i="3" s="1"/>
  <c r="Q43" i="3" s="1"/>
  <c r="R43" i="3" s="1"/>
  <c r="J43" i="3"/>
  <c r="G43" i="3"/>
  <c r="H43" i="3" s="1"/>
  <c r="Z42" i="3"/>
  <c r="J42" i="3"/>
  <c r="L42" i="3" s="1"/>
  <c r="H42" i="3"/>
  <c r="G42" i="3"/>
  <c r="Z41" i="3"/>
  <c r="L41" i="3"/>
  <c r="P41" i="3" s="1"/>
  <c r="Q41" i="3" s="1"/>
  <c r="R41" i="3" s="1"/>
  <c r="J41" i="3"/>
  <c r="G41" i="3"/>
  <c r="H41" i="3" s="1"/>
  <c r="Z40" i="3"/>
  <c r="L40" i="3"/>
  <c r="M40" i="3" s="1"/>
  <c r="N40" i="3" s="1"/>
  <c r="J40" i="3"/>
  <c r="G40" i="3"/>
  <c r="H40" i="3" s="1"/>
  <c r="Z39" i="3"/>
  <c r="J39" i="3"/>
  <c r="L39" i="3" s="1"/>
  <c r="P39" i="3" s="1"/>
  <c r="Q39" i="3" s="1"/>
  <c r="R39" i="3" s="1"/>
  <c r="H39" i="3"/>
  <c r="G39" i="3"/>
  <c r="Z38" i="3"/>
  <c r="J38" i="3"/>
  <c r="L38" i="3" s="1"/>
  <c r="M38" i="3" s="1"/>
  <c r="N38" i="3" s="1"/>
  <c r="H38" i="3"/>
  <c r="G38" i="3"/>
  <c r="Z37" i="3"/>
  <c r="L37" i="3"/>
  <c r="P37" i="3" s="1"/>
  <c r="Q37" i="3" s="1"/>
  <c r="R37" i="3" s="1"/>
  <c r="J37" i="3"/>
  <c r="H37" i="3"/>
  <c r="G37" i="3"/>
  <c r="Z36" i="3"/>
  <c r="J36" i="3"/>
  <c r="L36" i="3" s="1"/>
  <c r="G36" i="3"/>
  <c r="H36" i="3" s="1"/>
  <c r="Z35" i="3"/>
  <c r="J35" i="3"/>
  <c r="L35" i="3" s="1"/>
  <c r="H35" i="3"/>
  <c r="G35" i="3"/>
  <c r="Z34" i="3"/>
  <c r="J34" i="3"/>
  <c r="L34" i="3" s="1"/>
  <c r="H34" i="3"/>
  <c r="G34" i="3"/>
  <c r="Z33" i="3"/>
  <c r="P33" i="3"/>
  <c r="Q33" i="3" s="1"/>
  <c r="R33" i="3" s="1"/>
  <c r="M33" i="3"/>
  <c r="N33" i="3" s="1"/>
  <c r="L33" i="3"/>
  <c r="J33" i="3"/>
  <c r="G33" i="3"/>
  <c r="H33" i="3" s="1"/>
  <c r="Z32" i="3"/>
  <c r="J32" i="3"/>
  <c r="L32" i="3" s="1"/>
  <c r="M32" i="3" s="1"/>
  <c r="N32" i="3" s="1"/>
  <c r="H32" i="3"/>
  <c r="G32" i="3"/>
  <c r="Z31" i="3"/>
  <c r="J31" i="3"/>
  <c r="L31" i="3" s="1"/>
  <c r="H31" i="3"/>
  <c r="G31" i="3"/>
  <c r="Z30" i="3"/>
  <c r="J30" i="3"/>
  <c r="L30" i="3" s="1"/>
  <c r="H30" i="3"/>
  <c r="G30" i="3"/>
  <c r="Z29" i="3"/>
  <c r="L29" i="3"/>
  <c r="P29" i="3" s="1"/>
  <c r="Q29" i="3" s="1"/>
  <c r="R29" i="3" s="1"/>
  <c r="J29" i="3"/>
  <c r="H29" i="3"/>
  <c r="G29" i="3"/>
  <c r="Z28" i="3"/>
  <c r="J28" i="3"/>
  <c r="L28" i="3" s="1"/>
  <c r="G28" i="3"/>
  <c r="H28" i="3" s="1"/>
  <c r="Z27" i="3"/>
  <c r="L27" i="3"/>
  <c r="P27" i="3" s="1"/>
  <c r="Q27" i="3" s="1"/>
  <c r="R27" i="3" s="1"/>
  <c r="J27" i="3"/>
  <c r="G27" i="3"/>
  <c r="H27" i="3" s="1"/>
  <c r="Z26" i="3"/>
  <c r="J26" i="3"/>
  <c r="L26" i="3" s="1"/>
  <c r="M26" i="3" s="1"/>
  <c r="N26" i="3" s="1"/>
  <c r="H26" i="3"/>
  <c r="G26" i="3"/>
  <c r="Z25" i="3"/>
  <c r="L25" i="3"/>
  <c r="M25" i="3" s="1"/>
  <c r="N25" i="3" s="1"/>
  <c r="J25" i="3"/>
  <c r="G25" i="3"/>
  <c r="H25" i="3" s="1"/>
  <c r="Z24" i="3"/>
  <c r="J24" i="3"/>
  <c r="L24" i="3" s="1"/>
  <c r="G24" i="3"/>
  <c r="H24" i="3" s="1"/>
  <c r="Z23" i="3"/>
  <c r="J23" i="3"/>
  <c r="L23" i="3" s="1"/>
  <c r="G23" i="3"/>
  <c r="H23" i="3" s="1"/>
  <c r="Z22" i="3"/>
  <c r="J22" i="3"/>
  <c r="L22" i="3" s="1"/>
  <c r="H22" i="3"/>
  <c r="G22" i="3"/>
  <c r="Z21" i="3"/>
  <c r="L21" i="3"/>
  <c r="P21" i="3" s="1"/>
  <c r="Q21" i="3" s="1"/>
  <c r="R21" i="3" s="1"/>
  <c r="J21" i="3"/>
  <c r="G21" i="3"/>
  <c r="H21" i="3" s="1"/>
  <c r="Z20" i="3"/>
  <c r="J20" i="3"/>
  <c r="L20" i="3" s="1"/>
  <c r="M20" i="3" s="1"/>
  <c r="N20" i="3" s="1"/>
  <c r="G20" i="3"/>
  <c r="H20" i="3" s="1"/>
  <c r="Z19" i="3"/>
  <c r="J19" i="3"/>
  <c r="L19" i="3" s="1"/>
  <c r="G19" i="3"/>
  <c r="H19" i="3" s="1"/>
  <c r="Z18" i="3"/>
  <c r="J18" i="3"/>
  <c r="L18" i="3" s="1"/>
  <c r="H18" i="3"/>
  <c r="G18" i="3"/>
  <c r="Z17" i="3"/>
  <c r="R17" i="3"/>
  <c r="N17" i="3"/>
  <c r="M17" i="3"/>
  <c r="L17" i="3"/>
  <c r="P17" i="3" s="1"/>
  <c r="Q17" i="3" s="1"/>
  <c r="J17" i="3"/>
  <c r="G17" i="3"/>
  <c r="H17" i="3" s="1"/>
  <c r="Z16" i="3"/>
  <c r="J16" i="3"/>
  <c r="L16" i="3" s="1"/>
  <c r="H16" i="3"/>
  <c r="G16" i="3"/>
  <c r="Z15" i="3"/>
  <c r="J15" i="3"/>
  <c r="L15" i="3" s="1"/>
  <c r="G15" i="3"/>
  <c r="H15" i="3" s="1"/>
  <c r="Z14" i="3"/>
  <c r="P14" i="3"/>
  <c r="Q14" i="3" s="1"/>
  <c r="R14" i="3" s="1"/>
  <c r="L14" i="3"/>
  <c r="M14" i="3" s="1"/>
  <c r="N14" i="3" s="1"/>
  <c r="J14" i="3"/>
  <c r="H14" i="3"/>
  <c r="G14" i="3"/>
  <c r="Z13" i="3"/>
  <c r="R13" i="3"/>
  <c r="Q13" i="3"/>
  <c r="P13" i="3"/>
  <c r="L13" i="3"/>
  <c r="M13" i="3" s="1"/>
  <c r="N13" i="3" s="1"/>
  <c r="J13" i="3"/>
  <c r="G13" i="3"/>
  <c r="H13" i="3" s="1"/>
  <c r="Z12" i="3"/>
  <c r="J12" i="3"/>
  <c r="L12" i="3" s="1"/>
  <c r="G12" i="3"/>
  <c r="H12" i="3" s="1"/>
  <c r="Z11" i="3"/>
  <c r="J11" i="3"/>
  <c r="L11" i="3" s="1"/>
  <c r="G11" i="3"/>
  <c r="H11" i="3" s="1"/>
  <c r="Z10" i="3"/>
  <c r="M10" i="3"/>
  <c r="N10" i="3" s="1"/>
  <c r="L10" i="3"/>
  <c r="P10" i="3" s="1"/>
  <c r="Q10" i="3" s="1"/>
  <c r="R10" i="3" s="1"/>
  <c r="J10" i="3"/>
  <c r="H10" i="3"/>
  <c r="G10" i="3"/>
  <c r="Z9" i="3"/>
  <c r="P9" i="3"/>
  <c r="Q9" i="3" s="1"/>
  <c r="R9" i="3" s="1"/>
  <c r="N9" i="3"/>
  <c r="M9" i="3"/>
  <c r="L9" i="3"/>
  <c r="J9" i="3"/>
  <c r="G9" i="3"/>
  <c r="H9" i="3" s="1"/>
  <c r="Z8" i="3"/>
  <c r="P8" i="3"/>
  <c r="Q8" i="3" s="1"/>
  <c r="R8" i="3" s="1"/>
  <c r="N8" i="3"/>
  <c r="L8" i="3"/>
  <c r="M8" i="3" s="1"/>
  <c r="J8" i="3"/>
  <c r="G8" i="3"/>
  <c r="H8" i="3" s="1"/>
  <c r="Z7" i="3"/>
  <c r="Q7" i="3"/>
  <c r="R7" i="3" s="1"/>
  <c r="N7" i="3"/>
  <c r="M7" i="3"/>
  <c r="J7" i="3"/>
  <c r="L7" i="3" s="1"/>
  <c r="P7" i="3" s="1"/>
  <c r="G7" i="3"/>
  <c r="H7" i="3" s="1"/>
  <c r="Z6" i="3"/>
  <c r="P6" i="3"/>
  <c r="Q6" i="3" s="1"/>
  <c r="R6" i="3" s="1"/>
  <c r="N6" i="3"/>
  <c r="J6" i="3"/>
  <c r="L6" i="3" s="1"/>
  <c r="M6" i="3" s="1"/>
  <c r="H6" i="3"/>
  <c r="G6" i="3"/>
  <c r="Z5" i="3"/>
  <c r="L5" i="3"/>
  <c r="P5" i="3" s="1"/>
  <c r="Q5" i="3" s="1"/>
  <c r="R5" i="3" s="1"/>
  <c r="J5" i="3"/>
  <c r="G5" i="3"/>
  <c r="H5" i="3" s="1"/>
  <c r="Z4" i="3"/>
  <c r="J4" i="3"/>
  <c r="L4" i="3" s="1"/>
  <c r="H4" i="3"/>
  <c r="G4" i="3"/>
  <c r="Z3" i="3"/>
  <c r="J3" i="3"/>
  <c r="L3" i="3" s="1"/>
  <c r="H3" i="3"/>
  <c r="G3" i="3"/>
  <c r="Z2" i="3"/>
  <c r="W2" i="3"/>
  <c r="X2" i="3" s="1"/>
  <c r="V2" i="3"/>
  <c r="T2" i="3"/>
  <c r="U2" i="3" s="1"/>
  <c r="J2" i="3"/>
  <c r="L2" i="3" s="1"/>
  <c r="G2" i="3"/>
  <c r="H2" i="3" s="1"/>
  <c r="Q1" i="3"/>
  <c r="R1" i="3" s="1"/>
  <c r="K4" i="1" l="1"/>
  <c r="P14" i="1"/>
  <c r="K34" i="1"/>
  <c r="Q45" i="1"/>
  <c r="R45" i="1" s="1"/>
  <c r="P61" i="1"/>
  <c r="K61" i="1"/>
  <c r="K63" i="1"/>
  <c r="P63" i="1"/>
  <c r="M63" i="1"/>
  <c r="N63" i="1" s="1"/>
  <c r="Q9" i="1"/>
  <c r="R9" i="1" s="1"/>
  <c r="P23" i="1"/>
  <c r="P46" i="1"/>
  <c r="Q13" i="1"/>
  <c r="R13" i="1" s="1"/>
  <c r="K59" i="1"/>
  <c r="Q34" i="1"/>
  <c r="R34" i="1" s="1"/>
  <c r="P59" i="1"/>
  <c r="Q20" i="1"/>
  <c r="R20" i="1" s="1"/>
  <c r="K2" i="1"/>
  <c r="Q2" i="1"/>
  <c r="R2" i="1" s="1"/>
  <c r="Q36" i="1"/>
  <c r="R36" i="1" s="1"/>
  <c r="P63" i="3"/>
  <c r="Q63" i="3" s="1"/>
  <c r="R63" i="3" s="1"/>
  <c r="M63" i="3"/>
  <c r="N63" i="3" s="1"/>
  <c r="P47" i="1"/>
  <c r="M47" i="1"/>
  <c r="N47" i="1" s="1"/>
  <c r="K47" i="1"/>
  <c r="P61" i="7"/>
  <c r="Q61" i="7" s="1"/>
  <c r="R61" i="7" s="1"/>
  <c r="M61" i="7"/>
  <c r="N61" i="7" s="1"/>
  <c r="P11" i="3"/>
  <c r="Q11" i="3" s="1"/>
  <c r="R11" i="3" s="1"/>
  <c r="M11" i="3"/>
  <c r="N11" i="3" s="1"/>
  <c r="P79" i="3"/>
  <c r="Q79" i="3" s="1"/>
  <c r="R79" i="3" s="1"/>
  <c r="M79" i="3"/>
  <c r="N79" i="3" s="1"/>
  <c r="P122" i="3"/>
  <c r="Q122" i="3" s="1"/>
  <c r="R122" i="3" s="1"/>
  <c r="M122" i="3"/>
  <c r="N122" i="3" s="1"/>
  <c r="M60" i="3"/>
  <c r="N60" i="3" s="1"/>
  <c r="P60" i="3"/>
  <c r="Q60" i="3" s="1"/>
  <c r="R60" i="3" s="1"/>
  <c r="M56" i="3"/>
  <c r="N56" i="3" s="1"/>
  <c r="P56" i="3"/>
  <c r="Q56" i="3" s="1"/>
  <c r="R56" i="3" s="1"/>
  <c r="P74" i="3"/>
  <c r="Q74" i="3" s="1"/>
  <c r="R74" i="3" s="1"/>
  <c r="M74" i="3"/>
  <c r="N74" i="3" s="1"/>
  <c r="P2" i="3"/>
  <c r="Q2" i="3" s="1"/>
  <c r="R2" i="3" s="1"/>
  <c r="M2" i="3"/>
  <c r="N2" i="3" s="1"/>
  <c r="M16" i="3"/>
  <c r="N16" i="3" s="1"/>
  <c r="P16" i="3"/>
  <c r="Q16" i="3" s="1"/>
  <c r="R16" i="3" s="1"/>
  <c r="M36" i="3"/>
  <c r="N36" i="3" s="1"/>
  <c r="P36" i="3"/>
  <c r="Q36" i="3" s="1"/>
  <c r="R36" i="3" s="1"/>
  <c r="M16" i="1"/>
  <c r="N16" i="1" s="1"/>
  <c r="K16" i="1"/>
  <c r="P16" i="1"/>
  <c r="P26" i="1"/>
  <c r="M26" i="1"/>
  <c r="N26" i="1" s="1"/>
  <c r="K26" i="1"/>
  <c r="P15" i="7"/>
  <c r="Q15" i="7" s="1"/>
  <c r="R15" i="7" s="1"/>
  <c r="M15" i="7"/>
  <c r="N15" i="7" s="1"/>
  <c r="P47" i="7"/>
  <c r="Q47" i="7" s="1"/>
  <c r="R47" i="7" s="1"/>
  <c r="M47" i="7"/>
  <c r="N47" i="7" s="1"/>
  <c r="P67" i="3"/>
  <c r="Q67" i="3" s="1"/>
  <c r="R67" i="3" s="1"/>
  <c r="M67" i="3"/>
  <c r="N67" i="3" s="1"/>
  <c r="P91" i="3"/>
  <c r="Q91" i="3" s="1"/>
  <c r="R91" i="3" s="1"/>
  <c r="M91" i="3"/>
  <c r="N91" i="3" s="1"/>
  <c r="M4" i="3"/>
  <c r="N4" i="3" s="1"/>
  <c r="P4" i="3"/>
  <c r="Q4" i="3" s="1"/>
  <c r="R4" i="3" s="1"/>
  <c r="M18" i="3"/>
  <c r="N18" i="3" s="1"/>
  <c r="P18" i="3"/>
  <c r="Q18" i="3" s="1"/>
  <c r="R18" i="3" s="1"/>
  <c r="P31" i="3"/>
  <c r="Q31" i="3" s="1"/>
  <c r="R31" i="3" s="1"/>
  <c r="M31" i="3"/>
  <c r="N31" i="3" s="1"/>
  <c r="M48" i="1"/>
  <c r="N48" i="1" s="1"/>
  <c r="P48" i="1"/>
  <c r="K48" i="1"/>
  <c r="M56" i="1"/>
  <c r="N56" i="1" s="1"/>
  <c r="P56" i="1"/>
  <c r="Q56" i="1" s="1"/>
  <c r="R56" i="1" s="1"/>
  <c r="K56" i="1"/>
  <c r="P3" i="7"/>
  <c r="Q3" i="7" s="1"/>
  <c r="R3" i="7" s="1"/>
  <c r="M3" i="7"/>
  <c r="N3" i="7" s="1"/>
  <c r="M12" i="3"/>
  <c r="N12" i="3" s="1"/>
  <c r="P12" i="3"/>
  <c r="Q12" i="3" s="1"/>
  <c r="R12" i="3" s="1"/>
  <c r="P23" i="3"/>
  <c r="Q23" i="3" s="1"/>
  <c r="R23" i="3" s="1"/>
  <c r="M23" i="3"/>
  <c r="N23" i="3" s="1"/>
  <c r="P62" i="3"/>
  <c r="Q62" i="3" s="1"/>
  <c r="R62" i="3" s="1"/>
  <c r="M62" i="3"/>
  <c r="N62" i="3" s="1"/>
  <c r="M68" i="3"/>
  <c r="N68" i="3" s="1"/>
  <c r="P68" i="3"/>
  <c r="Q68" i="3" s="1"/>
  <c r="R68" i="3" s="1"/>
  <c r="P15" i="1"/>
  <c r="M15" i="1"/>
  <c r="N15" i="1" s="1"/>
  <c r="K15" i="1"/>
  <c r="P28" i="1"/>
  <c r="M28" i="1"/>
  <c r="N28" i="1" s="1"/>
  <c r="K28" i="1"/>
  <c r="M28" i="3"/>
  <c r="N28" i="3" s="1"/>
  <c r="P28" i="3"/>
  <c r="Q28" i="3" s="1"/>
  <c r="R28" i="3" s="1"/>
  <c r="P66" i="3"/>
  <c r="Q66" i="3" s="1"/>
  <c r="R66" i="3" s="1"/>
  <c r="M66" i="3"/>
  <c r="N66" i="3" s="1"/>
  <c r="P90" i="3"/>
  <c r="Q90" i="3" s="1"/>
  <c r="R90" i="3" s="1"/>
  <c r="M90" i="3"/>
  <c r="N90" i="3" s="1"/>
  <c r="AD95" i="9"/>
  <c r="AA95" i="9"/>
  <c r="P75" i="3"/>
  <c r="Q75" i="3" s="1"/>
  <c r="R75" i="3" s="1"/>
  <c r="M75" i="3"/>
  <c r="N75" i="3" s="1"/>
  <c r="M84" i="3"/>
  <c r="N84" i="3" s="1"/>
  <c r="P84" i="3"/>
  <c r="Q84" i="3" s="1"/>
  <c r="R84" i="3" s="1"/>
  <c r="M22" i="3"/>
  <c r="N22" i="3" s="1"/>
  <c r="P22" i="3"/>
  <c r="Q22" i="3" s="1"/>
  <c r="R22" i="3" s="1"/>
  <c r="P34" i="3"/>
  <c r="Q34" i="3" s="1"/>
  <c r="R34" i="3" s="1"/>
  <c r="M34" i="3"/>
  <c r="N34" i="3" s="1"/>
  <c r="P42" i="3"/>
  <c r="Q42" i="3" s="1"/>
  <c r="R42" i="3" s="1"/>
  <c r="M42" i="3"/>
  <c r="N42" i="3" s="1"/>
  <c r="P7" i="1"/>
  <c r="M7" i="1"/>
  <c r="N7" i="1" s="1"/>
  <c r="K7" i="1"/>
  <c r="P15" i="3"/>
  <c r="Q15" i="3" s="1"/>
  <c r="R15" i="3" s="1"/>
  <c r="M15" i="3"/>
  <c r="N15" i="3" s="1"/>
  <c r="M76" i="3"/>
  <c r="N76" i="3" s="1"/>
  <c r="P76" i="3"/>
  <c r="Q76" i="3" s="1"/>
  <c r="R76" i="3" s="1"/>
  <c r="P119" i="3"/>
  <c r="Q119" i="3" s="1"/>
  <c r="R119" i="3" s="1"/>
  <c r="M119" i="3"/>
  <c r="N119" i="3" s="1"/>
  <c r="P123" i="3"/>
  <c r="Q123" i="3" s="1"/>
  <c r="R123" i="3" s="1"/>
  <c r="M123" i="3"/>
  <c r="N123" i="3" s="1"/>
  <c r="P39" i="1"/>
  <c r="M39" i="1"/>
  <c r="N39" i="1" s="1"/>
  <c r="K39" i="1"/>
  <c r="P6" i="7"/>
  <c r="Q6" i="7" s="1"/>
  <c r="R6" i="7" s="1"/>
  <c r="M6" i="7"/>
  <c r="N6" i="7" s="1"/>
  <c r="P35" i="3"/>
  <c r="Q35" i="3" s="1"/>
  <c r="R35" i="3" s="1"/>
  <c r="M35" i="3"/>
  <c r="N35" i="3" s="1"/>
  <c r="P3" i="3"/>
  <c r="Q3" i="3" s="1"/>
  <c r="R3" i="3" s="1"/>
  <c r="M3" i="3"/>
  <c r="N3" i="3" s="1"/>
  <c r="M24" i="3"/>
  <c r="N24" i="3" s="1"/>
  <c r="P24" i="3"/>
  <c r="Q24" i="3" s="1"/>
  <c r="R24" i="3" s="1"/>
  <c r="P30" i="3"/>
  <c r="Q30" i="3" s="1"/>
  <c r="R30" i="3" s="1"/>
  <c r="M30" i="3"/>
  <c r="N30" i="3" s="1"/>
  <c r="P126" i="3"/>
  <c r="Q126" i="3" s="1"/>
  <c r="R126" i="3" s="1"/>
  <c r="M126" i="3"/>
  <c r="N126" i="3" s="1"/>
  <c r="P44" i="7"/>
  <c r="Q44" i="7" s="1"/>
  <c r="R44" i="7" s="1"/>
  <c r="M44" i="7"/>
  <c r="N44" i="7" s="1"/>
  <c r="P55" i="7"/>
  <c r="Q55" i="7" s="1"/>
  <c r="R55" i="7" s="1"/>
  <c r="M55" i="7"/>
  <c r="N55" i="7" s="1"/>
  <c r="P5" i="1"/>
  <c r="M5" i="1"/>
  <c r="N5" i="1" s="1"/>
  <c r="P21" i="1"/>
  <c r="K21" i="1"/>
  <c r="P58" i="1"/>
  <c r="K58" i="1"/>
  <c r="L4" i="2"/>
  <c r="P28" i="7"/>
  <c r="Q28" i="7" s="1"/>
  <c r="R28" i="7" s="1"/>
  <c r="M28" i="7"/>
  <c r="N28" i="7" s="1"/>
  <c r="M21" i="1"/>
  <c r="N21" i="1" s="1"/>
  <c r="G33" i="1"/>
  <c r="H33" i="1" s="1"/>
  <c r="K35" i="1"/>
  <c r="M36" i="1"/>
  <c r="N36" i="1" s="1"/>
  <c r="Q4" i="4"/>
  <c r="N4" i="4"/>
  <c r="O4" i="4" s="1"/>
  <c r="S5" i="9"/>
  <c r="V29" i="9"/>
  <c r="S29" i="9"/>
  <c r="Z68" i="9"/>
  <c r="AA108" i="9"/>
  <c r="P88" i="3"/>
  <c r="Q88" i="3" s="1"/>
  <c r="R88" i="3" s="1"/>
  <c r="P10" i="1"/>
  <c r="Q10" i="1" s="1"/>
  <c r="R10" i="1" s="1"/>
  <c r="K10" i="1"/>
  <c r="P42" i="1"/>
  <c r="K42" i="1"/>
  <c r="K54" i="1"/>
  <c r="P54" i="1"/>
  <c r="M37" i="7"/>
  <c r="N37" i="7" s="1"/>
  <c r="M67" i="7"/>
  <c r="N67" i="7" s="1"/>
  <c r="M81" i="7"/>
  <c r="N81" i="7" s="1"/>
  <c r="T28" i="9"/>
  <c r="W28" i="9"/>
  <c r="W30" i="9"/>
  <c r="Z34" i="9"/>
  <c r="T98" i="9"/>
  <c r="P113" i="3"/>
  <c r="Q113" i="3" s="1"/>
  <c r="R113" i="3" s="1"/>
  <c r="M125" i="3"/>
  <c r="N125" i="3" s="1"/>
  <c r="M42" i="1"/>
  <c r="N42" i="1" s="1"/>
  <c r="N3" i="4"/>
  <c r="O3" i="4" s="1"/>
  <c r="Z4" i="9"/>
  <c r="P86" i="3"/>
  <c r="Q86" i="3" s="1"/>
  <c r="R86" i="3" s="1"/>
  <c r="P53" i="1"/>
  <c r="M53" i="1"/>
  <c r="N53" i="1" s="1"/>
  <c r="J55" i="1"/>
  <c r="L55" i="1" s="1"/>
  <c r="P60" i="1"/>
  <c r="M64" i="1"/>
  <c r="N64" i="1" s="1"/>
  <c r="K64" i="1"/>
  <c r="M2" i="4"/>
  <c r="P23" i="7"/>
  <c r="Q23" i="7" s="1"/>
  <c r="R23" i="7" s="1"/>
  <c r="M23" i="7"/>
  <c r="N23" i="7" s="1"/>
  <c r="M75" i="7"/>
  <c r="N75" i="7" s="1"/>
  <c r="L12" i="9"/>
  <c r="W12" i="9"/>
  <c r="AD20" i="9"/>
  <c r="L40" i="9"/>
  <c r="AD40" i="9"/>
  <c r="W49" i="9"/>
  <c r="T49" i="9"/>
  <c r="L57" i="9"/>
  <c r="AD57" i="9"/>
  <c r="AA59" i="9"/>
  <c r="Z62" i="9"/>
  <c r="T65" i="9"/>
  <c r="W65" i="9"/>
  <c r="L67" i="9"/>
  <c r="V84" i="9"/>
  <c r="S84" i="9"/>
  <c r="S91" i="9"/>
  <c r="V91" i="9"/>
  <c r="AD93" i="9"/>
  <c r="AA93" i="9"/>
  <c r="AC95" i="9"/>
  <c r="AC96" i="9"/>
  <c r="Z96" i="9"/>
  <c r="Z103" i="9"/>
  <c r="AC103" i="9"/>
  <c r="O10" i="10"/>
  <c r="P37" i="1"/>
  <c r="M37" i="1"/>
  <c r="N37" i="1" s="1"/>
  <c r="P46" i="7"/>
  <c r="Q46" i="7" s="1"/>
  <c r="R46" i="7" s="1"/>
  <c r="M46" i="7"/>
  <c r="N46" i="7" s="1"/>
  <c r="P62" i="7"/>
  <c r="Q62" i="7" s="1"/>
  <c r="R62" i="7" s="1"/>
  <c r="M62" i="7"/>
  <c r="N62" i="7" s="1"/>
  <c r="L8" i="9"/>
  <c r="W8" i="9"/>
  <c r="AD17" i="9"/>
  <c r="AA17" i="9"/>
  <c r="AC19" i="9"/>
  <c r="Z19" i="9"/>
  <c r="V64" i="9"/>
  <c r="S64" i="9"/>
  <c r="S75" i="9"/>
  <c r="V75" i="9"/>
  <c r="S107" i="9"/>
  <c r="V107" i="9"/>
  <c r="M5" i="3"/>
  <c r="N5" i="3" s="1"/>
  <c r="M43" i="3"/>
  <c r="N43" i="3" s="1"/>
  <c r="P80" i="3"/>
  <c r="Q80" i="3" s="1"/>
  <c r="R80" i="3" s="1"/>
  <c r="M82" i="3"/>
  <c r="N82" i="3" s="1"/>
  <c r="M131" i="3"/>
  <c r="N131" i="3" s="1"/>
  <c r="K41" i="1"/>
  <c r="M41" i="1"/>
  <c r="N41" i="1" s="1"/>
  <c r="K49" i="1"/>
  <c r="P49" i="1"/>
  <c r="M58" i="1"/>
  <c r="N58" i="1" s="1"/>
  <c r="P66" i="1"/>
  <c r="M66" i="1"/>
  <c r="N66" i="1" s="1"/>
  <c r="K66" i="1"/>
  <c r="P7" i="7"/>
  <c r="Q7" i="7" s="1"/>
  <c r="R7" i="7" s="1"/>
  <c r="M14" i="7"/>
  <c r="N14" i="7" s="1"/>
  <c r="M30" i="7"/>
  <c r="N30" i="7" s="1"/>
  <c r="S26" i="9"/>
  <c r="S73" i="9"/>
  <c r="T110" i="9"/>
  <c r="M78" i="3"/>
  <c r="N78" i="3" s="1"/>
  <c r="P93" i="3"/>
  <c r="Q93" i="3" s="1"/>
  <c r="R93" i="3" s="1"/>
  <c r="P100" i="3"/>
  <c r="Q100" i="3" s="1"/>
  <c r="R100" i="3" s="1"/>
  <c r="M100" i="3"/>
  <c r="N100" i="3" s="1"/>
  <c r="G41" i="1"/>
  <c r="H41" i="1" s="1"/>
  <c r="AA12" i="9"/>
  <c r="S97" i="9"/>
  <c r="AD107" i="9"/>
  <c r="AA107" i="9"/>
  <c r="M71" i="3"/>
  <c r="N71" i="3" s="1"/>
  <c r="M108" i="3"/>
  <c r="N108" i="3" s="1"/>
  <c r="P132" i="3"/>
  <c r="Q132" i="3" s="1"/>
  <c r="R132" i="3" s="1"/>
  <c r="M10" i="1"/>
  <c r="N10" i="1" s="1"/>
  <c r="M25" i="1"/>
  <c r="N25" i="1" s="1"/>
  <c r="G28" i="1"/>
  <c r="H28" i="1" s="1"/>
  <c r="P29" i="1"/>
  <c r="M29" i="1"/>
  <c r="N29" i="1" s="1"/>
  <c r="K29" i="1"/>
  <c r="M33" i="1"/>
  <c r="N33" i="1" s="1"/>
  <c r="P35" i="1"/>
  <c r="Q35" i="1" s="1"/>
  <c r="R35" i="1" s="1"/>
  <c r="M54" i="1"/>
  <c r="N54" i="1" s="1"/>
  <c r="M60" i="1"/>
  <c r="N60" i="1" s="1"/>
  <c r="M4" i="7"/>
  <c r="N4" i="7" s="1"/>
  <c r="Z23" i="9"/>
  <c r="AA24" i="9"/>
  <c r="V28" i="9"/>
  <c r="AA30" i="9"/>
  <c r="AD30" i="9"/>
  <c r="AC31" i="9"/>
  <c r="Z31" i="9"/>
  <c r="L41" i="9"/>
  <c r="W41" i="9"/>
  <c r="AD46" i="9"/>
  <c r="AC47" i="9"/>
  <c r="AC63" i="9"/>
  <c r="Z63" i="9"/>
  <c r="S87" i="9"/>
  <c r="V87" i="9"/>
  <c r="W93" i="9"/>
  <c r="T93" i="9"/>
  <c r="S96" i="9"/>
  <c r="Z100" i="9"/>
  <c r="T105" i="9"/>
  <c r="T122" i="9"/>
  <c r="W122" i="9"/>
  <c r="P19" i="3"/>
  <c r="Q19" i="3" s="1"/>
  <c r="R19" i="3" s="1"/>
  <c r="M19" i="3"/>
  <c r="N19" i="3" s="1"/>
  <c r="M21" i="3"/>
  <c r="N21" i="3" s="1"/>
  <c r="P25" i="3"/>
  <c r="Q25" i="3" s="1"/>
  <c r="R25" i="3" s="1"/>
  <c r="M29" i="3"/>
  <c r="N29" i="3" s="1"/>
  <c r="P72" i="3"/>
  <c r="Q72" i="3" s="1"/>
  <c r="R72" i="3" s="1"/>
  <c r="M92" i="3"/>
  <c r="N92" i="3" s="1"/>
  <c r="M104" i="3"/>
  <c r="N104" i="3" s="1"/>
  <c r="M2" i="1"/>
  <c r="N2" i="1" s="1"/>
  <c r="L6" i="1"/>
  <c r="L19" i="1"/>
  <c r="L24" i="1"/>
  <c r="L32" i="1"/>
  <c r="M34" i="1"/>
  <c r="N34" i="1" s="1"/>
  <c r="L38" i="1"/>
  <c r="M51" i="1"/>
  <c r="N51" i="1" s="1"/>
  <c r="P51" i="1"/>
  <c r="K51" i="1"/>
  <c r="M5" i="2"/>
  <c r="N5" i="2" s="1"/>
  <c r="K5" i="2"/>
  <c r="M40" i="7"/>
  <c r="N40" i="7" s="1"/>
  <c r="P40" i="7"/>
  <c r="Q40" i="7" s="1"/>
  <c r="R40" i="7" s="1"/>
  <c r="M65" i="7"/>
  <c r="N65" i="7" s="1"/>
  <c r="Z3" i="9"/>
  <c r="AA5" i="9"/>
  <c r="AD11" i="9"/>
  <c r="S22" i="9"/>
  <c r="V38" i="9"/>
  <c r="S38" i="9"/>
  <c r="AA60" i="9"/>
  <c r="T92" i="9"/>
  <c r="AD97" i="9"/>
  <c r="AA97" i="9"/>
  <c r="AA104" i="9"/>
  <c r="O6" i="10"/>
  <c r="S17" i="10"/>
  <c r="H17" i="10"/>
  <c r="P26" i="3"/>
  <c r="Q26" i="3" s="1"/>
  <c r="R26" i="3" s="1"/>
  <c r="P70" i="3"/>
  <c r="Q70" i="3" s="1"/>
  <c r="R70" i="3" s="1"/>
  <c r="P73" i="3"/>
  <c r="Q73" i="3" s="1"/>
  <c r="R73" i="3" s="1"/>
  <c r="P124" i="3"/>
  <c r="Q124" i="3" s="1"/>
  <c r="R124" i="3" s="1"/>
  <c r="P25" i="1"/>
  <c r="P33" i="1"/>
  <c r="P41" i="1"/>
  <c r="P51" i="3"/>
  <c r="Q51" i="3" s="1"/>
  <c r="R51" i="3" s="1"/>
  <c r="M51" i="3"/>
  <c r="N51" i="3" s="1"/>
  <c r="P57" i="3"/>
  <c r="Q57" i="3" s="1"/>
  <c r="R57" i="3" s="1"/>
  <c r="M107" i="3"/>
  <c r="N107" i="3" s="1"/>
  <c r="P128" i="3"/>
  <c r="Q128" i="3" s="1"/>
  <c r="R128" i="3" s="1"/>
  <c r="L8" i="1"/>
  <c r="M14" i="1"/>
  <c r="N14" i="1" s="1"/>
  <c r="P18" i="1"/>
  <c r="M18" i="1"/>
  <c r="N18" i="1" s="1"/>
  <c r="M23" i="1"/>
  <c r="N23" i="1" s="1"/>
  <c r="L31" i="1"/>
  <c r="L40" i="1"/>
  <c r="M46" i="1"/>
  <c r="N46" i="1" s="1"/>
  <c r="P50" i="1"/>
  <c r="M50" i="1"/>
  <c r="N50" i="1" s="1"/>
  <c r="K53" i="1"/>
  <c r="P64" i="1"/>
  <c r="P11" i="7"/>
  <c r="Q11" i="7" s="1"/>
  <c r="R11" i="7" s="1"/>
  <c r="P13" i="7"/>
  <c r="Q13" i="7" s="1"/>
  <c r="R13" i="7" s="1"/>
  <c r="M13" i="7"/>
  <c r="N13" i="7" s="1"/>
  <c r="P27" i="7"/>
  <c r="Q27" i="7" s="1"/>
  <c r="R27" i="7" s="1"/>
  <c r="M27" i="7"/>
  <c r="N27" i="7" s="1"/>
  <c r="M36" i="7"/>
  <c r="N36" i="7" s="1"/>
  <c r="M48" i="7"/>
  <c r="N48" i="7" s="1"/>
  <c r="P48" i="7"/>
  <c r="Q48" i="7" s="1"/>
  <c r="R48" i="7" s="1"/>
  <c r="W19" i="9"/>
  <c r="T19" i="9"/>
  <c r="AA20" i="9"/>
  <c r="AC38" i="9"/>
  <c r="Z38" i="9"/>
  <c r="T42" i="9"/>
  <c r="V55" i="9"/>
  <c r="V65" i="9"/>
  <c r="T83" i="9"/>
  <c r="W83" i="9"/>
  <c r="AC84" i="9"/>
  <c r="Z84" i="9"/>
  <c r="L89" i="9"/>
  <c r="AD89" i="9"/>
  <c r="T90" i="9"/>
  <c r="W90" i="9"/>
  <c r="AC91" i="9"/>
  <c r="Z91" i="9"/>
  <c r="AA94" i="9"/>
  <c r="AD94" i="9"/>
  <c r="W113" i="9"/>
  <c r="T114" i="9"/>
  <c r="AA118" i="9"/>
  <c r="T119" i="9"/>
  <c r="AA122" i="9"/>
  <c r="AD122" i="9"/>
  <c r="P32" i="3"/>
  <c r="Q32" i="3" s="1"/>
  <c r="R32" i="3" s="1"/>
  <c r="M39" i="3"/>
  <c r="N39" i="3" s="1"/>
  <c r="M41" i="3"/>
  <c r="N41" i="3" s="1"/>
  <c r="M49" i="3"/>
  <c r="N49" i="3" s="1"/>
  <c r="P50" i="3"/>
  <c r="Q50" i="3" s="1"/>
  <c r="R50" i="3" s="1"/>
  <c r="P106" i="3"/>
  <c r="Q106" i="3" s="1"/>
  <c r="R106" i="3" s="1"/>
  <c r="P109" i="3"/>
  <c r="Q109" i="3" s="1"/>
  <c r="R109" i="3" s="1"/>
  <c r="M114" i="3"/>
  <c r="N114" i="3" s="1"/>
  <c r="M127" i="3"/>
  <c r="N127" i="3" s="1"/>
  <c r="K9" i="1"/>
  <c r="M9" i="1"/>
  <c r="N9" i="1" s="1"/>
  <c r="M13" i="1"/>
  <c r="N13" i="1" s="1"/>
  <c r="K17" i="1"/>
  <c r="P17" i="1"/>
  <c r="M45" i="1"/>
  <c r="N45" i="1" s="1"/>
  <c r="P52" i="1"/>
  <c r="Q52" i="1" s="1"/>
  <c r="R52" i="1" s="1"/>
  <c r="M52" i="1"/>
  <c r="N52" i="1" s="1"/>
  <c r="P39" i="7"/>
  <c r="Q39" i="7" s="1"/>
  <c r="R39" i="7" s="1"/>
  <c r="M39" i="7"/>
  <c r="N39" i="7" s="1"/>
  <c r="P43" i="7"/>
  <c r="Q43" i="7" s="1"/>
  <c r="R43" i="7" s="1"/>
  <c r="M43" i="7"/>
  <c r="N43" i="7" s="1"/>
  <c r="P60" i="7"/>
  <c r="Q60" i="7" s="1"/>
  <c r="R60" i="7" s="1"/>
  <c r="M60" i="7"/>
  <c r="N60" i="7" s="1"/>
  <c r="AC32" i="9"/>
  <c r="Z32" i="9"/>
  <c r="W36" i="9"/>
  <c r="T36" i="9"/>
  <c r="AA48" i="9"/>
  <c r="P40" i="3"/>
  <c r="Q40" i="3" s="1"/>
  <c r="R40" i="3" s="1"/>
  <c r="P48" i="3"/>
  <c r="Q48" i="3" s="1"/>
  <c r="R48" i="3" s="1"/>
  <c r="M4" i="1"/>
  <c r="N4" i="1" s="1"/>
  <c r="G9" i="1"/>
  <c r="H9" i="1" s="1"/>
  <c r="M17" i="1"/>
  <c r="N17" i="1" s="1"/>
  <c r="M49" i="1"/>
  <c r="N49" i="1" s="1"/>
  <c r="K57" i="1"/>
  <c r="M57" i="1"/>
  <c r="N57" i="1" s="1"/>
  <c r="M2" i="7"/>
  <c r="N2" i="7" s="1"/>
  <c r="T6" i="9"/>
  <c r="AD14" i="9"/>
  <c r="W31" i="9"/>
  <c r="AD47" i="9"/>
  <c r="AA47" i="9"/>
  <c r="M27" i="3"/>
  <c r="N27" i="3" s="1"/>
  <c r="M37" i="3"/>
  <c r="N37" i="3" s="1"/>
  <c r="P38" i="3"/>
  <c r="Q38" i="3" s="1"/>
  <c r="R38" i="3" s="1"/>
  <c r="P64" i="3"/>
  <c r="Q64" i="3" s="1"/>
  <c r="R64" i="3" s="1"/>
  <c r="M87" i="3"/>
  <c r="N87" i="3" s="1"/>
  <c r="P105" i="3"/>
  <c r="Q105" i="3" s="1"/>
  <c r="R105" i="3" s="1"/>
  <c r="K3" i="1"/>
  <c r="P3" i="1"/>
  <c r="P57" i="1"/>
  <c r="Q57" i="1" s="1"/>
  <c r="R57" i="1" s="1"/>
  <c r="M61" i="1"/>
  <c r="N61" i="1" s="1"/>
  <c r="M25" i="7"/>
  <c r="N25" i="7" s="1"/>
  <c r="P25" i="7"/>
  <c r="Q25" i="7" s="1"/>
  <c r="R25" i="7" s="1"/>
  <c r="P29" i="7"/>
  <c r="Q29" i="7" s="1"/>
  <c r="R29" i="7" s="1"/>
  <c r="M29" i="7"/>
  <c r="N29" i="7" s="1"/>
  <c r="L10" i="9"/>
  <c r="AD10" i="9"/>
  <c r="Z25" i="9"/>
  <c r="AD29" i="9"/>
  <c r="T58" i="9"/>
  <c r="W58" i="9"/>
  <c r="W81" i="9"/>
  <c r="T81" i="9"/>
  <c r="P20" i="3"/>
  <c r="Q20" i="3" s="1"/>
  <c r="R20" i="3" s="1"/>
  <c r="M58" i="3"/>
  <c r="N58" i="3" s="1"/>
  <c r="M59" i="3"/>
  <c r="N59" i="3" s="1"/>
  <c r="M69" i="3"/>
  <c r="N69" i="3" s="1"/>
  <c r="M44" i="3"/>
  <c r="N44" i="3" s="1"/>
  <c r="P44" i="3"/>
  <c r="Q44" i="3" s="1"/>
  <c r="R44" i="3" s="1"/>
  <c r="P52" i="3"/>
  <c r="Q52" i="3" s="1"/>
  <c r="R52" i="3" s="1"/>
  <c r="P120" i="3"/>
  <c r="Q120" i="3" s="1"/>
  <c r="R120" i="3" s="1"/>
  <c r="K5" i="1"/>
  <c r="L12" i="1"/>
  <c r="K13" i="1"/>
  <c r="M20" i="1"/>
  <c r="N20" i="1" s="1"/>
  <c r="K20" i="1"/>
  <c r="M27" i="1"/>
  <c r="N27" i="1" s="1"/>
  <c r="P27" i="1"/>
  <c r="K36" i="1"/>
  <c r="K37" i="1"/>
  <c r="L44" i="1"/>
  <c r="K45" i="1"/>
  <c r="Q6" i="2"/>
  <c r="L6" i="2"/>
  <c r="P5" i="7"/>
  <c r="Q5" i="7" s="1"/>
  <c r="R5" i="7" s="1"/>
  <c r="M5" i="7"/>
  <c r="N5" i="7" s="1"/>
  <c r="S10" i="9"/>
  <c r="V10" i="9"/>
  <c r="AD16" i="9"/>
  <c r="AD21" i="9"/>
  <c r="AA21" i="9"/>
  <c r="V32" i="9"/>
  <c r="S32" i="9"/>
  <c r="W55" i="9"/>
  <c r="W56" i="9"/>
  <c r="T56" i="9"/>
  <c r="AA58" i="9"/>
  <c r="AD58" i="9"/>
  <c r="AC86" i="9"/>
  <c r="Z86" i="9"/>
  <c r="R5" i="10"/>
  <c r="O5" i="10"/>
  <c r="L11" i="1"/>
  <c r="L43" i="1"/>
  <c r="M24" i="7"/>
  <c r="N24" i="7" s="1"/>
  <c r="P24" i="7"/>
  <c r="Q24" i="7" s="1"/>
  <c r="R24" i="7" s="1"/>
  <c r="M70" i="7"/>
  <c r="N70" i="7" s="1"/>
  <c r="M78" i="7"/>
  <c r="N78" i="7" s="1"/>
  <c r="S9" i="9"/>
  <c r="S14" i="9"/>
  <c r="S16" i="9"/>
  <c r="V16" i="9"/>
  <c r="T46" i="9"/>
  <c r="W46" i="9"/>
  <c r="S59" i="9"/>
  <c r="V59" i="9"/>
  <c r="W66" i="9"/>
  <c r="T66" i="9"/>
  <c r="T72" i="9"/>
  <c r="V88" i="9"/>
  <c r="S88" i="9"/>
  <c r="W95" i="9"/>
  <c r="L95" i="9"/>
  <c r="H16" i="10"/>
  <c r="P18" i="10"/>
  <c r="S18" i="10"/>
  <c r="L30" i="1"/>
  <c r="K2" i="2"/>
  <c r="M2" i="2"/>
  <c r="N2" i="2" s="1"/>
  <c r="AD37" i="9"/>
  <c r="AD41" i="9"/>
  <c r="W45" i="9"/>
  <c r="T45" i="9"/>
  <c r="V48" i="9"/>
  <c r="S48" i="9"/>
  <c r="Z51" i="9"/>
  <c r="AC51" i="9"/>
  <c r="L53" i="9"/>
  <c r="AD53" i="9"/>
  <c r="W74" i="9"/>
  <c r="T74" i="9"/>
  <c r="T106" i="9"/>
  <c r="W106" i="9"/>
  <c r="M99" i="3"/>
  <c r="N99" i="3" s="1"/>
  <c r="L22" i="1"/>
  <c r="G59" i="1"/>
  <c r="H59" i="1" s="1"/>
  <c r="G60" i="1"/>
  <c r="H60" i="1" s="1"/>
  <c r="J62" i="1"/>
  <c r="L62" i="1" s="1"/>
  <c r="K65" i="1"/>
  <c r="P65" i="1"/>
  <c r="Q2" i="2"/>
  <c r="R2" i="2" s="1"/>
  <c r="R4" i="4"/>
  <c r="S4" i="4" s="1"/>
  <c r="M5" i="4"/>
  <c r="M22" i="7"/>
  <c r="N22" i="7" s="1"/>
  <c r="P54" i="7"/>
  <c r="Q54" i="7" s="1"/>
  <c r="R54" i="7" s="1"/>
  <c r="M54" i="7"/>
  <c r="N54" i="7" s="1"/>
  <c r="M56" i="7"/>
  <c r="N56" i="7" s="1"/>
  <c r="P56" i="7"/>
  <c r="Q56" i="7" s="1"/>
  <c r="R56" i="7" s="1"/>
  <c r="Z7" i="9"/>
  <c r="Z8" i="9"/>
  <c r="S13" i="9"/>
  <c r="S17" i="9"/>
  <c r="S18" i="9"/>
  <c r="S33" i="9"/>
  <c r="AD39" i="9"/>
  <c r="AA39" i="9"/>
  <c r="AA42" i="9"/>
  <c r="AD42" i="9"/>
  <c r="AD43" i="9"/>
  <c r="AA43" i="9"/>
  <c r="Z50" i="9"/>
  <c r="T60" i="9"/>
  <c r="T61" i="9"/>
  <c r="Z64" i="9"/>
  <c r="AC64" i="9"/>
  <c r="AD67" i="9"/>
  <c r="Z71" i="9"/>
  <c r="AC72" i="9"/>
  <c r="Z72" i="9"/>
  <c r="S85" i="9"/>
  <c r="S99" i="9"/>
  <c r="V99" i="9"/>
  <c r="AA105" i="9"/>
  <c r="AD105" i="9"/>
  <c r="W115" i="9"/>
  <c r="T115" i="9"/>
  <c r="W116" i="9"/>
  <c r="T116" i="9"/>
  <c r="T118" i="9"/>
  <c r="W118" i="9"/>
  <c r="S123" i="9"/>
  <c r="V123" i="9"/>
  <c r="O11" i="10"/>
  <c r="O14" i="10"/>
  <c r="T20" i="9"/>
  <c r="W20" i="9"/>
  <c r="AC54" i="9"/>
  <c r="Z54" i="9"/>
  <c r="AD109" i="9"/>
  <c r="AA109" i="9"/>
  <c r="S2" i="10"/>
  <c r="P2" i="10"/>
  <c r="W7" i="9"/>
  <c r="AC9" i="9"/>
  <c r="Z13" i="9"/>
  <c r="V20" i="9"/>
  <c r="Z27" i="9"/>
  <c r="AD28" i="9"/>
  <c r="AA28" i="9"/>
  <c r="Z36" i="9"/>
  <c r="S39" i="9"/>
  <c r="V39" i="9"/>
  <c r="S40" i="9"/>
  <c r="L43" i="9"/>
  <c r="W62" i="9"/>
  <c r="T62" i="9"/>
  <c r="Z83" i="9"/>
  <c r="AC83" i="9"/>
  <c r="R2" i="10"/>
  <c r="P9" i="10"/>
  <c r="S9" i="10"/>
  <c r="P32" i="7"/>
  <c r="Q32" i="7" s="1"/>
  <c r="R32" i="7" s="1"/>
  <c r="P38" i="7"/>
  <c r="Q38" i="7" s="1"/>
  <c r="R38" i="7" s="1"/>
  <c r="M38" i="7"/>
  <c r="N38" i="7" s="1"/>
  <c r="M66" i="7"/>
  <c r="N66" i="7" s="1"/>
  <c r="M69" i="7"/>
  <c r="N69" i="7" s="1"/>
  <c r="M74" i="7"/>
  <c r="N74" i="7" s="1"/>
  <c r="M77" i="7"/>
  <c r="N77" i="7" s="1"/>
  <c r="M82" i="7"/>
  <c r="N82" i="7" s="1"/>
  <c r="M85" i="7"/>
  <c r="N85" i="7" s="1"/>
  <c r="W3" i="9"/>
  <c r="V4" i="9"/>
  <c r="L6" i="9"/>
  <c r="AD6" i="9"/>
  <c r="T7" i="9"/>
  <c r="AD9" i="9"/>
  <c r="T11" i="9"/>
  <c r="AC28" i="9"/>
  <c r="V52" i="9"/>
  <c r="S52" i="9"/>
  <c r="S53" i="9"/>
  <c r="S68" i="9"/>
  <c r="S69" i="9"/>
  <c r="L73" i="9"/>
  <c r="AD73" i="9"/>
  <c r="Z78" i="9"/>
  <c r="AA79" i="9"/>
  <c r="Z82" i="9"/>
  <c r="AD90" i="9"/>
  <c r="T94" i="9"/>
  <c r="AD111" i="9"/>
  <c r="Z121" i="9"/>
  <c r="R4" i="10"/>
  <c r="O4" i="10"/>
  <c r="R13" i="10"/>
  <c r="O13" i="10"/>
  <c r="L61" i="9"/>
  <c r="AD61" i="9"/>
  <c r="V103" i="9"/>
  <c r="V104" i="9"/>
  <c r="S104" i="9"/>
  <c r="AC114" i="9"/>
  <c r="Z114" i="9"/>
  <c r="AC119" i="9"/>
  <c r="M64" i="7"/>
  <c r="N64" i="7" s="1"/>
  <c r="M68" i="7"/>
  <c r="N68" i="7" s="1"/>
  <c r="M72" i="7"/>
  <c r="N72" i="7" s="1"/>
  <c r="M76" i="7"/>
  <c r="N76" i="7" s="1"/>
  <c r="M80" i="7"/>
  <c r="N80" i="7" s="1"/>
  <c r="M84" i="7"/>
  <c r="N84" i="7" s="1"/>
  <c r="V12" i="9"/>
  <c r="Z15" i="9"/>
  <c r="S25" i="9"/>
  <c r="AA35" i="9"/>
  <c r="S37" i="9"/>
  <c r="V41" i="9"/>
  <c r="S44" i="9"/>
  <c r="AD55" i="9"/>
  <c r="AA55" i="9"/>
  <c r="L65" i="9"/>
  <c r="AD65" i="9"/>
  <c r="S71" i="9"/>
  <c r="V71" i="9"/>
  <c r="AC74" i="9"/>
  <c r="Z74" i="9"/>
  <c r="AD75" i="9"/>
  <c r="T76" i="9"/>
  <c r="V79" i="9"/>
  <c r="Z87" i="9"/>
  <c r="AC98" i="9"/>
  <c r="Z98" i="9"/>
  <c r="AD99" i="9"/>
  <c r="T100" i="9"/>
  <c r="W103" i="9"/>
  <c r="Z106" i="9"/>
  <c r="S108" i="9"/>
  <c r="AD119" i="9"/>
  <c r="O3" i="10"/>
  <c r="S12" i="10"/>
  <c r="P12" i="10"/>
  <c r="R15" i="10"/>
  <c r="AD120" i="9"/>
  <c r="V67" i="9"/>
  <c r="Z70" i="9"/>
  <c r="S80" i="9"/>
  <c r="V95" i="9"/>
  <c r="V111" i="9"/>
  <c r="Z117" i="9"/>
  <c r="AA120" i="9"/>
  <c r="T121" i="9"/>
  <c r="Q14" i="1" l="1"/>
  <c r="R14" i="1" s="1"/>
  <c r="Q48" i="1"/>
  <c r="R48" i="1" s="1"/>
  <c r="Q42" i="1"/>
  <c r="R42" i="1" s="1"/>
  <c r="Q18" i="1"/>
  <c r="R18" i="1" s="1"/>
  <c r="Q41" i="1"/>
  <c r="R41" i="1" s="1"/>
  <c r="Q7" i="1"/>
  <c r="R7" i="1" s="1"/>
  <c r="Q15" i="1"/>
  <c r="R15" i="1" s="1"/>
  <c r="Q33" i="1"/>
  <c r="R33" i="1" s="1"/>
  <c r="Q29" i="1"/>
  <c r="R29" i="1" s="1"/>
  <c r="Q65" i="1"/>
  <c r="R65" i="1" s="1"/>
  <c r="Q60" i="1"/>
  <c r="R60" i="1" s="1"/>
  <c r="Q58" i="1"/>
  <c r="R58" i="1" s="1"/>
  <c r="Q17" i="1"/>
  <c r="R17" i="1" s="1"/>
  <c r="Q64" i="1"/>
  <c r="R64" i="1" s="1"/>
  <c r="Q54" i="1"/>
  <c r="R54" i="1" s="1"/>
  <c r="Q21" i="1"/>
  <c r="R21" i="1" s="1"/>
  <c r="Q63" i="1"/>
  <c r="R63" i="1" s="1"/>
  <c r="Q3" i="1"/>
  <c r="R3" i="1" s="1"/>
  <c r="Q51" i="1"/>
  <c r="R51" i="1" s="1"/>
  <c r="Q49" i="1"/>
  <c r="R49" i="1" s="1"/>
  <c r="Q47" i="1"/>
  <c r="R47" i="1" s="1"/>
  <c r="Q66" i="1"/>
  <c r="R66" i="1" s="1"/>
  <c r="Q53" i="1"/>
  <c r="R53" i="1" s="1"/>
  <c r="Q26" i="1"/>
  <c r="R26" i="1" s="1"/>
  <c r="Q25" i="1"/>
  <c r="R25" i="1" s="1"/>
  <c r="Q46" i="1"/>
  <c r="R46" i="1" s="1"/>
  <c r="Q27" i="1"/>
  <c r="R27" i="1" s="1"/>
  <c r="Q50" i="1"/>
  <c r="R50" i="1" s="1"/>
  <c r="Q5" i="1"/>
  <c r="R5" i="1" s="1"/>
  <c r="Q16" i="1"/>
  <c r="R16" i="1" s="1"/>
  <c r="Q37" i="1"/>
  <c r="R37" i="1" s="1"/>
  <c r="Q39" i="1"/>
  <c r="R39" i="1" s="1"/>
  <c r="Q28" i="1"/>
  <c r="R28" i="1" s="1"/>
  <c r="Q59" i="1"/>
  <c r="R59" i="1" s="1"/>
  <c r="Q23" i="1"/>
  <c r="R23" i="1" s="1"/>
  <c r="Q61" i="1"/>
  <c r="R61" i="1" s="1"/>
  <c r="M40" i="1"/>
  <c r="N40" i="1" s="1"/>
  <c r="P40" i="1"/>
  <c r="K40" i="1"/>
  <c r="AD4" i="9"/>
  <c r="AA4" i="9"/>
  <c r="W5" i="9"/>
  <c r="T5" i="9"/>
  <c r="S4" i="10"/>
  <c r="P4" i="10"/>
  <c r="AA78" i="9"/>
  <c r="AD78" i="9"/>
  <c r="AA54" i="9"/>
  <c r="AD54" i="9"/>
  <c r="AA64" i="9"/>
  <c r="AD64" i="9"/>
  <c r="K30" i="1"/>
  <c r="M30" i="1"/>
  <c r="N30" i="1" s="1"/>
  <c r="P30" i="1"/>
  <c r="T16" i="9"/>
  <c r="W16" i="9"/>
  <c r="M11" i="1"/>
  <c r="N11" i="1" s="1"/>
  <c r="K11" i="1"/>
  <c r="P11" i="1"/>
  <c r="T10" i="9"/>
  <c r="W10" i="9"/>
  <c r="AD91" i="9"/>
  <c r="AA91" i="9"/>
  <c r="M31" i="1"/>
  <c r="N31" i="1" s="1"/>
  <c r="K31" i="1"/>
  <c r="P31" i="1"/>
  <c r="K38" i="1"/>
  <c r="P38" i="1"/>
  <c r="M38" i="1"/>
  <c r="N38" i="1" s="1"/>
  <c r="AD63" i="9"/>
  <c r="AA63" i="9"/>
  <c r="T107" i="9"/>
  <c r="W107" i="9"/>
  <c r="AA62" i="9"/>
  <c r="AD62" i="9"/>
  <c r="P4" i="2"/>
  <c r="Q4" i="2" s="1"/>
  <c r="R4" i="2" s="1"/>
  <c r="K4" i="2"/>
  <c r="M4" i="2"/>
  <c r="N4" i="2" s="1"/>
  <c r="AA98" i="9"/>
  <c r="AD98" i="9"/>
  <c r="T69" i="9"/>
  <c r="W69" i="9"/>
  <c r="T39" i="9"/>
  <c r="W39" i="9"/>
  <c r="AA50" i="9"/>
  <c r="AD50" i="9"/>
  <c r="W18" i="9"/>
  <c r="T18" i="9"/>
  <c r="M24" i="1"/>
  <c r="N24" i="1" s="1"/>
  <c r="P24" i="1"/>
  <c r="K24" i="1"/>
  <c r="W96" i="9"/>
  <c r="T96" i="9"/>
  <c r="W64" i="9"/>
  <c r="T64" i="9"/>
  <c r="AD103" i="9"/>
  <c r="AA103" i="9"/>
  <c r="P55" i="1"/>
  <c r="Q55" i="1" s="1"/>
  <c r="R55" i="1" s="1"/>
  <c r="K55" i="1"/>
  <c r="M55" i="1"/>
  <c r="N55" i="1" s="1"/>
  <c r="S3" i="10"/>
  <c r="P3" i="10"/>
  <c r="AD36" i="9"/>
  <c r="AA36" i="9"/>
  <c r="R6" i="2"/>
  <c r="M19" i="1"/>
  <c r="N19" i="1" s="1"/>
  <c r="P19" i="1"/>
  <c r="K19" i="1"/>
  <c r="P11" i="10"/>
  <c r="S11" i="10"/>
  <c r="W13" i="9"/>
  <c r="T13" i="9"/>
  <c r="K22" i="1"/>
  <c r="M22" i="1"/>
  <c r="N22" i="1" s="1"/>
  <c r="P22" i="1"/>
  <c r="AD25" i="9"/>
  <c r="AA25" i="9"/>
  <c r="M8" i="1"/>
  <c r="N8" i="1" s="1"/>
  <c r="P8" i="1"/>
  <c r="K8" i="1"/>
  <c r="T97" i="9"/>
  <c r="W97" i="9"/>
  <c r="W73" i="9"/>
  <c r="T73" i="9"/>
  <c r="AA19" i="9"/>
  <c r="AD19" i="9"/>
  <c r="AA34" i="9"/>
  <c r="AD34" i="9"/>
  <c r="W29" i="9"/>
  <c r="T29" i="9"/>
  <c r="AA70" i="9"/>
  <c r="AD70" i="9"/>
  <c r="AD51" i="9"/>
  <c r="AA51" i="9"/>
  <c r="W88" i="9"/>
  <c r="T88" i="9"/>
  <c r="K44" i="1"/>
  <c r="P44" i="1"/>
  <c r="M44" i="1"/>
  <c r="N44" i="1" s="1"/>
  <c r="AA84" i="9"/>
  <c r="AD84" i="9"/>
  <c r="AA31" i="9"/>
  <c r="AD31" i="9"/>
  <c r="W26" i="9"/>
  <c r="T26" i="9"/>
  <c r="AA106" i="9"/>
  <c r="AD106" i="9"/>
  <c r="AA114" i="9"/>
  <c r="AD114" i="9"/>
  <c r="AA7" i="9"/>
  <c r="AD7" i="9"/>
  <c r="T48" i="9"/>
  <c r="W48" i="9"/>
  <c r="M43" i="1"/>
  <c r="N43" i="1" s="1"/>
  <c r="K43" i="1"/>
  <c r="P43" i="1"/>
  <c r="AD32" i="9"/>
  <c r="AA32" i="9"/>
  <c r="AA74" i="9"/>
  <c r="AD74" i="9"/>
  <c r="W44" i="9"/>
  <c r="T44" i="9"/>
  <c r="W104" i="9"/>
  <c r="T104" i="9"/>
  <c r="W40" i="9"/>
  <c r="T40" i="9"/>
  <c r="AA13" i="9"/>
  <c r="AD13" i="9"/>
  <c r="T99" i="9"/>
  <c r="W99" i="9"/>
  <c r="T14" i="9"/>
  <c r="W14" i="9"/>
  <c r="S5" i="10"/>
  <c r="P5" i="10"/>
  <c r="P10" i="10"/>
  <c r="S10" i="10"/>
  <c r="W37" i="9"/>
  <c r="T37" i="9"/>
  <c r="AD72" i="9"/>
  <c r="AA72" i="9"/>
  <c r="AA86" i="9"/>
  <c r="AD86" i="9"/>
  <c r="M6" i="2"/>
  <c r="N6" i="2" s="1"/>
  <c r="K6" i="2"/>
  <c r="W84" i="9"/>
  <c r="T84" i="9"/>
  <c r="T71" i="9"/>
  <c r="W71" i="9"/>
  <c r="W68" i="9"/>
  <c r="T68" i="9"/>
  <c r="P14" i="10"/>
  <c r="S14" i="10"/>
  <c r="W17" i="9"/>
  <c r="T17" i="9"/>
  <c r="T59" i="9"/>
  <c r="W59" i="9"/>
  <c r="P6" i="10"/>
  <c r="S6" i="10"/>
  <c r="W22" i="9"/>
  <c r="T22" i="9"/>
  <c r="AA23" i="9"/>
  <c r="AD23" i="9"/>
  <c r="AA96" i="9"/>
  <c r="AD96" i="9"/>
  <c r="AA68" i="9"/>
  <c r="AD68" i="9"/>
  <c r="W80" i="9"/>
  <c r="T80" i="9"/>
  <c r="AD87" i="9"/>
  <c r="AA87" i="9"/>
  <c r="W25" i="9"/>
  <c r="T25" i="9"/>
  <c r="T53" i="9"/>
  <c r="W53" i="9"/>
  <c r="AD83" i="9"/>
  <c r="AA83" i="9"/>
  <c r="AD71" i="9"/>
  <c r="AA71" i="9"/>
  <c r="N5" i="4"/>
  <c r="O5" i="4" s="1"/>
  <c r="Q5" i="4"/>
  <c r="R5" i="4" s="1"/>
  <c r="S5" i="4" s="1"/>
  <c r="L5" i="4"/>
  <c r="AA38" i="9"/>
  <c r="AD38" i="9"/>
  <c r="K6" i="1"/>
  <c r="P6" i="1"/>
  <c r="M6" i="1"/>
  <c r="N6" i="1" s="1"/>
  <c r="W108" i="9"/>
  <c r="T108" i="9"/>
  <c r="AA15" i="9"/>
  <c r="AD15" i="9"/>
  <c r="S13" i="10"/>
  <c r="P13" i="10"/>
  <c r="AA82" i="9"/>
  <c r="AD82" i="9"/>
  <c r="W52" i="9"/>
  <c r="T52" i="9"/>
  <c r="AD8" i="9"/>
  <c r="AA8" i="9"/>
  <c r="K12" i="1"/>
  <c r="P12" i="1"/>
  <c r="M12" i="1"/>
  <c r="N12" i="1" s="1"/>
  <c r="AA27" i="9"/>
  <c r="AD27" i="9"/>
  <c r="W123" i="9"/>
  <c r="T123" i="9"/>
  <c r="AA3" i="9"/>
  <c r="AD3" i="9"/>
  <c r="T87" i="9"/>
  <c r="W87" i="9"/>
  <c r="L2" i="4"/>
  <c r="Q2" i="4"/>
  <c r="R2" i="4" s="1"/>
  <c r="S2" i="4" s="1"/>
  <c r="N2" i="4"/>
  <c r="O2" i="4" s="1"/>
  <c r="AD117" i="9"/>
  <c r="AA117" i="9"/>
  <c r="AD121" i="9"/>
  <c r="AA121" i="9"/>
  <c r="T85" i="9"/>
  <c r="W85" i="9"/>
  <c r="W33" i="9"/>
  <c r="T33" i="9"/>
  <c r="K62" i="1"/>
  <c r="P62" i="1"/>
  <c r="M62" i="1"/>
  <c r="N62" i="1" s="1"/>
  <c r="W9" i="9"/>
  <c r="T9" i="9"/>
  <c r="T32" i="9"/>
  <c r="W32" i="9"/>
  <c r="T38" i="9"/>
  <c r="W38" i="9"/>
  <c r="M32" i="1"/>
  <c r="N32" i="1" s="1"/>
  <c r="K32" i="1"/>
  <c r="P32" i="1"/>
  <c r="AD100" i="9"/>
  <c r="AA100" i="9"/>
  <c r="T75" i="9"/>
  <c r="W75" i="9"/>
  <c r="T91" i="9"/>
  <c r="W91" i="9"/>
  <c r="Q30" i="1" l="1"/>
  <c r="R30" i="1" s="1"/>
  <c r="Q44" i="1"/>
  <c r="R44" i="1" s="1"/>
  <c r="Q24" i="1"/>
  <c r="R24" i="1" s="1"/>
  <c r="Q31" i="1"/>
  <c r="R31" i="1" s="1"/>
  <c r="Q32" i="1"/>
  <c r="R32" i="1" s="1"/>
  <c r="Q12" i="1"/>
  <c r="R12" i="1" s="1"/>
  <c r="Q62" i="1"/>
  <c r="R62" i="1" s="1"/>
  <c r="Q40" i="1"/>
  <c r="R40" i="1" s="1"/>
  <c r="Q22" i="1"/>
  <c r="R22" i="1" s="1"/>
  <c r="Q19" i="1"/>
  <c r="R19" i="1" s="1"/>
  <c r="Q11" i="1"/>
  <c r="R11" i="1" s="1"/>
  <c r="Q6" i="1"/>
  <c r="R6" i="1" s="1"/>
  <c r="Q8" i="1"/>
  <c r="R8" i="1" s="1"/>
  <c r="Q43" i="1"/>
  <c r="R43" i="1" s="1"/>
  <c r="Q38" i="1"/>
  <c r="R38" i="1" s="1"/>
</calcChain>
</file>

<file path=xl/sharedStrings.xml><?xml version="1.0" encoding="utf-8"?>
<sst xmlns="http://schemas.openxmlformats.org/spreadsheetml/2006/main" count="1827" uniqueCount="830">
  <si>
    <t>S.No.</t>
  </si>
  <si>
    <t>Category</t>
  </si>
  <si>
    <t>Dish Name</t>
  </si>
  <si>
    <t>Cost (AED)</t>
  </si>
  <si>
    <t>Sell Price (AED)</t>
  </si>
  <si>
    <t>Margin</t>
  </si>
  <si>
    <t>Margin%</t>
  </si>
  <si>
    <t>Ideal Price</t>
  </si>
  <si>
    <t>Final Price</t>
  </si>
  <si>
    <t>Beef Burger</t>
  </si>
  <si>
    <t>Classic Beef Burger</t>
  </si>
  <si>
    <t>Cowboy Beef Burger</t>
  </si>
  <si>
    <t>Beef Slaw Burger</t>
  </si>
  <si>
    <t>Beef Burger Quesadilla</t>
  </si>
  <si>
    <t>Buffalo Beef Burger</t>
  </si>
  <si>
    <t>Texas Beef Burger</t>
  </si>
  <si>
    <t>Mushroom Beef Burger</t>
  </si>
  <si>
    <t>Mushroom Truffle Beef Burger</t>
  </si>
  <si>
    <t>Beef Double Cheese Burger</t>
  </si>
  <si>
    <t>Double Beef Burger</t>
  </si>
  <si>
    <t>Bacon Beef Burger</t>
  </si>
  <si>
    <t>BBQ Crispy Beef Burger</t>
  </si>
  <si>
    <t>Mexican Crunch Beef Burger</t>
  </si>
  <si>
    <t>Chicken Burger</t>
  </si>
  <si>
    <t>Grilled Classic Chicken Burger</t>
  </si>
  <si>
    <t>Crispy Chicken Burger</t>
  </si>
  <si>
    <t>Chicken Truffle Burger</t>
  </si>
  <si>
    <t>Honey BBQ Chicken Burger</t>
  </si>
  <si>
    <t>Chicken Crunchy Slaw Burger</t>
  </si>
  <si>
    <t>Chicken Dynamite Burger</t>
  </si>
  <si>
    <t>Chicken Honey Mustard Burger</t>
  </si>
  <si>
    <t>Chicken Avocado Burger</t>
  </si>
  <si>
    <t>Chicken Buffalo Burger</t>
  </si>
  <si>
    <t>Mexican Crunch Chicken Burger</t>
  </si>
  <si>
    <t>Hot Honey Burger</t>
  </si>
  <si>
    <t>Asian Ranch Burger</t>
  </si>
  <si>
    <t>Italian Chicken Burger</t>
  </si>
  <si>
    <t>Chili Chicken Burger</t>
  </si>
  <si>
    <t>Sliders</t>
  </si>
  <si>
    <t>Classic Beef Sliders</t>
  </si>
  <si>
    <t>Cowboy Beef Sliders</t>
  </si>
  <si>
    <t>Beef Slaw Sliders</t>
  </si>
  <si>
    <t>Beef Sliders Quesadilla</t>
  </si>
  <si>
    <t>Buffalo Beef Sliders</t>
  </si>
  <si>
    <t>Texas Beef Sliders</t>
  </si>
  <si>
    <t>Mushroom Beef Sliders</t>
  </si>
  <si>
    <t>Mushroom Truffle Beef Sliders</t>
  </si>
  <si>
    <t>Beef Double Cheese Sliders</t>
  </si>
  <si>
    <t>Double Beef Sliders</t>
  </si>
  <si>
    <t>Bacon Beef Sliders</t>
  </si>
  <si>
    <t>BBQ Crispy Beef Sliders</t>
  </si>
  <si>
    <t>Mexican Crunch Beef Sliders</t>
  </si>
  <si>
    <t>Grilled Classic Chicken Sliders</t>
  </si>
  <si>
    <t>Crispy Chicken Sliders</t>
  </si>
  <si>
    <t>Chicken Truffle Sliders</t>
  </si>
  <si>
    <t>Honey BBQ Chicken Sliders</t>
  </si>
  <si>
    <t>Chicken Crunchy Slaw Sliders</t>
  </si>
  <si>
    <t>Chicken House Slaw (Portion) Sliders</t>
  </si>
  <si>
    <t>Chicken Dynamite Sliders</t>
  </si>
  <si>
    <t>Chicken Honey Mustard Sliders</t>
  </si>
  <si>
    <t>Chicken Avocado Sliders</t>
  </si>
  <si>
    <t>Chicken Buffalo Sliders</t>
  </si>
  <si>
    <t>Mexican Crunch Chicken Sliders</t>
  </si>
  <si>
    <t>Hot Honey Sliders</t>
  </si>
  <si>
    <t>Asian Ranch Sliders</t>
  </si>
  <si>
    <t>Italian Chicken Sliders</t>
  </si>
  <si>
    <t>Chili Chicken Sliders</t>
  </si>
  <si>
    <t>Classic Grilled Halloumi Slider</t>
  </si>
  <si>
    <t>Buffalo Grilled Halloumi Slider</t>
  </si>
  <si>
    <t>BBQ Grilled Halloumi Slider</t>
  </si>
  <si>
    <t>Honey Mustard Grilled Halloumi Slider</t>
  </si>
  <si>
    <t>Avocado Grilled Halloumi Slider</t>
  </si>
  <si>
    <t>Classic Falafel Slider</t>
  </si>
  <si>
    <t>Buffalo Falafel Slider</t>
  </si>
  <si>
    <t>BBQ Falafel Slider</t>
  </si>
  <si>
    <t>Honey Mustard Falafel Slider</t>
  </si>
  <si>
    <t>Avocado Falafel Slider</t>
  </si>
  <si>
    <t>Wings, Tenders &amp; Wraps</t>
  </si>
  <si>
    <t>Chicken Wings</t>
  </si>
  <si>
    <t>Smokey BBQ Wings</t>
  </si>
  <si>
    <t>Tangy Buffalo Wings</t>
  </si>
  <si>
    <t>Hot Honey Wings</t>
  </si>
  <si>
    <t>Sesame &amp; Sweet Wings</t>
  </si>
  <si>
    <t>Chili Hoisin Wings</t>
  </si>
  <si>
    <t>Garlic Parmesan Wings</t>
  </si>
  <si>
    <t>Honey Mustard Wings</t>
  </si>
  <si>
    <t>Dynamite Wings</t>
  </si>
  <si>
    <t>Chicken Tenders</t>
  </si>
  <si>
    <t>Smokey BBQ Tenders</t>
  </si>
  <si>
    <t>Tangy Buffalo Tenders</t>
  </si>
  <si>
    <t>Hot Honey Tenders</t>
  </si>
  <si>
    <t>Sesame &amp; Sweet Tenders</t>
  </si>
  <si>
    <t>Chili Hoisin Tenders</t>
  </si>
  <si>
    <t>Garlic Parmesan Tenders</t>
  </si>
  <si>
    <t>Honey Mustard Tenders</t>
  </si>
  <si>
    <t>Dynamite Tenders</t>
  </si>
  <si>
    <t>Chicken Wraps</t>
  </si>
  <si>
    <t>Chicken Caesar Wrap</t>
  </si>
  <si>
    <t>BBQ Chicken Wrap</t>
  </si>
  <si>
    <t>Buffalo Chicken Wrap</t>
  </si>
  <si>
    <t>Hot Honey Chicken Wrap</t>
  </si>
  <si>
    <t>Asian Chicken Wrap</t>
  </si>
  <si>
    <t>Sides &amp; Dips</t>
  </si>
  <si>
    <t>Fries</t>
  </si>
  <si>
    <t>Spicy Fries</t>
  </si>
  <si>
    <t>Dynamite Fries</t>
  </si>
  <si>
    <t>Cheesy Fries</t>
  </si>
  <si>
    <t>Tex Mex Fries</t>
  </si>
  <si>
    <t>Onion Rings</t>
  </si>
  <si>
    <t>Curly Fries</t>
  </si>
  <si>
    <t>Mozzarella Sticks</t>
  </si>
  <si>
    <t>Dynamite Shrimp</t>
  </si>
  <si>
    <t>Nachos</t>
  </si>
  <si>
    <t>Loaded Nachos</t>
  </si>
  <si>
    <t>House Slaw</t>
  </si>
  <si>
    <t>Garlic Aioli Dip</t>
  </si>
  <si>
    <t>Sriracha Mayo Dip</t>
  </si>
  <si>
    <t>Honey BBQ Dip</t>
  </si>
  <si>
    <t>Dynamite Sauce Dip</t>
  </si>
  <si>
    <t>Truffle Mayo Dip</t>
  </si>
  <si>
    <t>Honey Mustard Dip</t>
  </si>
  <si>
    <t>Mexican Ranch Dip</t>
  </si>
  <si>
    <t>Cheese Dip</t>
  </si>
  <si>
    <t>Avocado Ranch Dip</t>
  </si>
  <si>
    <t>Meal &amp; Combo Assemblies</t>
  </si>
  <si>
    <t>Wings Meal for 1</t>
  </si>
  <si>
    <t>Wings Meal for 2</t>
  </si>
  <si>
    <t>Wings Meal for 4</t>
  </si>
  <si>
    <t>Beef Sliders Meal for 1</t>
  </si>
  <si>
    <t>Beef Sliders Meal for 2</t>
  </si>
  <si>
    <t>Beef Sliders Meal for 4</t>
  </si>
  <si>
    <t>Chicken Sliders Meal for 1</t>
  </si>
  <si>
    <t>Chicken Sliders Meal for 2</t>
  </si>
  <si>
    <t>Chicken Sliders Meal for 4</t>
  </si>
  <si>
    <t>Chicken Burger Combo Meal for 1</t>
  </si>
  <si>
    <t>Chicken Burger Combo Meal for 2</t>
  </si>
  <si>
    <t>Chicken Burger Combo Meal for 4</t>
  </si>
  <si>
    <t>Beef Burger Combo Meal for 1</t>
  </si>
  <si>
    <t>Beef Burger Combo Meal for 2</t>
  </si>
  <si>
    <t>Beef Burger Combo Meal for 4</t>
  </si>
  <si>
    <t>Beverages</t>
  </si>
  <si>
    <t>Mineral Water</t>
  </si>
  <si>
    <t>Coca Cola</t>
  </si>
  <si>
    <t>Coca Cola Zero</t>
  </si>
  <si>
    <t>Sprite</t>
  </si>
  <si>
    <t>Sprite Zero</t>
  </si>
  <si>
    <t>Fanta</t>
  </si>
  <si>
    <t>Meal for 1</t>
  </si>
  <si>
    <t>Crunchy BBQ Burger</t>
  </si>
  <si>
    <t>Crunchy BBQ Sliders</t>
  </si>
  <si>
    <t>Veggie Sliders</t>
  </si>
  <si>
    <t>Veggie Sticks</t>
  </si>
  <si>
    <t>Honey Chilli Potatoes</t>
  </si>
  <si>
    <t>Honey Chilli Shrimp</t>
  </si>
  <si>
    <t>Bibimbap</t>
  </si>
  <si>
    <t>Beef Bibimbap</t>
  </si>
  <si>
    <t>Chicken Bibimbap</t>
  </si>
  <si>
    <t>Tofu Bibimbap</t>
  </si>
  <si>
    <t>Veg Bibimbap</t>
  </si>
  <si>
    <t>Shrimp Bibimbap</t>
  </si>
  <si>
    <t>Rice Bowls</t>
  </si>
  <si>
    <t>Kimchi Shrimp Fried Rice</t>
  </si>
  <si>
    <t>Bulgogi Deopbap</t>
  </si>
  <si>
    <t>Dak Deopbap</t>
  </si>
  <si>
    <t>Chili Garlic Shrimp Deopbap</t>
  </si>
  <si>
    <t>Gochujang Shrimp Deopbap</t>
  </si>
  <si>
    <t>Crispy Tofu Deopbap</t>
  </si>
  <si>
    <t>Ojingeo Deopbap (Squid)</t>
  </si>
  <si>
    <t>Nakji Bokkeum (Octopus)</t>
  </si>
  <si>
    <t>Donkkaseu</t>
  </si>
  <si>
    <t>Japchae</t>
  </si>
  <si>
    <t>Japchae Beef</t>
  </si>
  <si>
    <t>Japchae Chicken</t>
  </si>
  <si>
    <t>Japchae Veg</t>
  </si>
  <si>
    <t>Shrimp Japchae</t>
  </si>
  <si>
    <t>Noodles</t>
  </si>
  <si>
    <t>Jjajangmyeon</t>
  </si>
  <si>
    <t>Stews</t>
  </si>
  <si>
    <t>Kimchi Jjigae</t>
  </si>
  <si>
    <t>Soondubu Jjigae</t>
  </si>
  <si>
    <t>Shrimp Soondubu Jjigae</t>
  </si>
  <si>
    <t>Yukgaejang</t>
  </si>
  <si>
    <t>Jjamppong Bap</t>
  </si>
  <si>
    <t>Jjamppong</t>
  </si>
  <si>
    <t>Ramen</t>
  </si>
  <si>
    <t>Shin Ramen</t>
  </si>
  <si>
    <t>Beef Ramen</t>
  </si>
  <si>
    <t>Prawn Ramen</t>
  </si>
  <si>
    <t>Chicken Ramen</t>
  </si>
  <si>
    <t>Fried Chicken</t>
  </si>
  <si>
    <t>Soy and Garlic Chicken</t>
  </si>
  <si>
    <t>Yangnyeom Chicken</t>
  </si>
  <si>
    <t>Korean Style Chicken</t>
  </si>
  <si>
    <t>Spicy Chicken</t>
  </si>
  <si>
    <t>Honey Garlic Chicken</t>
  </si>
  <si>
    <t>Wings</t>
  </si>
  <si>
    <t>Soy and Garlic Wings</t>
  </si>
  <si>
    <t>Yangnyeom Wings</t>
  </si>
  <si>
    <t>Spicy Wings</t>
  </si>
  <si>
    <t>Honey Garlic Wings</t>
  </si>
  <si>
    <t>Appetizers</t>
  </si>
  <si>
    <t>Rabokki</t>
  </si>
  <si>
    <t>Spicy Shrimp Tteokbokki</t>
  </si>
  <si>
    <t>Steamed Chicken Mandu</t>
  </si>
  <si>
    <t>Kimbap</t>
  </si>
  <si>
    <t>Tuna Kimbap</t>
  </si>
  <si>
    <t>Beef Kimbap</t>
  </si>
  <si>
    <t>Chicken Kimbap</t>
  </si>
  <si>
    <t>Kimchi Kimbap</t>
  </si>
  <si>
    <t>Japchae &amp; Shrimp Kimbap</t>
  </si>
  <si>
    <t>Banchan</t>
  </si>
  <si>
    <t>House Kimchi</t>
  </si>
  <si>
    <t>Kongnamul Muchim</t>
  </si>
  <si>
    <t>Sigumchi Namul</t>
  </si>
  <si>
    <t>Danmuji (Pickled Radish)</t>
  </si>
  <si>
    <t>Combo Meals</t>
  </si>
  <si>
    <t>Rice Bowl Set</t>
  </si>
  <si>
    <t>Solo Chicken Set</t>
  </si>
  <si>
    <t>Chicken Combo for Two</t>
  </si>
  <si>
    <t>Combo Name</t>
  </si>
  <si>
    <t>Min Cost (AED)</t>
  </si>
  <si>
    <t>Max Cost (AED)</t>
  </si>
  <si>
    <t>Iftar Korean Rice Bowl Solo</t>
  </si>
  <si>
    <t>Iftar Korean Rice Bowl Duo</t>
  </si>
  <si>
    <t>Iftar Korean Rice Bowl Family of 4</t>
  </si>
  <si>
    <t>Ramadan Korean Feast 6 Servings</t>
  </si>
  <si>
    <t>Iftar Vegetarian Korean Bowl Feast</t>
  </si>
  <si>
    <t>Brands</t>
  </si>
  <si>
    <t>Bronx Burger House, Big Dawg's Burgers, The Patty Pit, Smashville Burgers</t>
  </si>
  <si>
    <t>Ramadan Solo Iftar</t>
  </si>
  <si>
    <t>Ramadan Duo Iftar (2 Pax)</t>
  </si>
  <si>
    <t>Ramadan Family Iftar Feast (4 Pax)</t>
  </si>
  <si>
    <t>Ramadan Party Iftar Party (6 Pax)</t>
  </si>
  <si>
    <t>Juicy Buns, The Slider Shack</t>
  </si>
  <si>
    <t>Ramadan Mini Iftar (2 Sliders)</t>
  </si>
  <si>
    <t>Ramadan Duo Iftar (4 Sliders)</t>
  </si>
  <si>
    <t>Ramadan Family Iftar Feast (8 Sliders)</t>
  </si>
  <si>
    <t>Ramadan Grand Iftar Party (12 Sliders)</t>
  </si>
  <si>
    <t>Wingin' It, Wings of Fury</t>
  </si>
  <si>
    <t>Ramadan Solo Iftar (5 Wings)</t>
  </si>
  <si>
    <t>Ramadan Duo Iftar (10 Wings)</t>
  </si>
  <si>
    <t>Ramadan Family Iftar Bucket (20 Wings)</t>
  </si>
  <si>
    <t>Ramadan Mega Iftar Mega Bucket (30 Wings)</t>
  </si>
  <si>
    <t>Golden-Baked Quesadillas</t>
  </si>
  <si>
    <t>Cheese Quesadilla</t>
  </si>
  <si>
    <t>Spiced Veggies and Cheese Quesadilla</t>
  </si>
  <si>
    <t>Grilled Chicken and Cheese Quesadilla</t>
  </si>
  <si>
    <t>Spicy Shrimp and Cheese Quesadilla</t>
  </si>
  <si>
    <t>Smoky Beef and Cheese Quesadilla</t>
  </si>
  <si>
    <t>Homestyle Tacos</t>
  </si>
  <si>
    <t>Veggie Tacos</t>
  </si>
  <si>
    <t>Chicken Tacos</t>
  </si>
  <si>
    <t>Grilled BBQ Chicken Tacos</t>
  </si>
  <si>
    <t>Grilled Shrimp Sichuan Tacos</t>
  </si>
  <si>
    <t>Shrimp Tacos</t>
  </si>
  <si>
    <t>Beef Tacos</t>
  </si>
  <si>
    <t>Ground Beef Tacos</t>
  </si>
  <si>
    <t>Chimichurri Tacos</t>
  </si>
  <si>
    <t>Chimichurri Veg Tacos</t>
  </si>
  <si>
    <t>Chimichurri Chicken Tacos</t>
  </si>
  <si>
    <t>Chimichurri Shrimp Tacos</t>
  </si>
  <si>
    <t>Chimichurri Beef Tacos</t>
  </si>
  <si>
    <t>Hearty Burritos</t>
  </si>
  <si>
    <t>Spiced Veggie Burrito</t>
  </si>
  <si>
    <t>Grilled Chicken Burrito</t>
  </si>
  <si>
    <t>Crispy Chicken Burrito</t>
  </si>
  <si>
    <t>Avocado and Chicken Burrito</t>
  </si>
  <si>
    <t>Spicy Shrimp Burrito</t>
  </si>
  <si>
    <t>Smoky Beef Burrito</t>
  </si>
  <si>
    <t>Ground Beef Burrito</t>
  </si>
  <si>
    <t>Ranchero-Style Wraps</t>
  </si>
  <si>
    <t>Veg Ranchero Burrito</t>
  </si>
  <si>
    <t>Grilled Chicken Ranchero Burrito</t>
  </si>
  <si>
    <t>Grilled Shrimp Ranchero Burrito</t>
  </si>
  <si>
    <t>Smoky Beef Ranchero Burrito</t>
  </si>
  <si>
    <t>Ground Beef Ranchero Burrito</t>
  </si>
  <si>
    <t>Chimichurri-Style Wraps</t>
  </si>
  <si>
    <t>Spiced Veggie Chimichurri Burrito</t>
  </si>
  <si>
    <t>Grilled Chicken Chimichurri Burrito</t>
  </si>
  <si>
    <t>Crispy Chicken Chimichurri Burrito</t>
  </si>
  <si>
    <t>Spicy Shrimp Chimichurri Burrito</t>
  </si>
  <si>
    <t>Smoky Beef Chimichurri Burrito</t>
  </si>
  <si>
    <t>Golden-Fried Chimichangas</t>
  </si>
  <si>
    <t>Veg Chimichanga</t>
  </si>
  <si>
    <t>Grilled Chicken Chimichanga</t>
  </si>
  <si>
    <t>Smoky Beef Chimichanga</t>
  </si>
  <si>
    <t>Ground Beef Chimichanga</t>
  </si>
  <si>
    <t>Oven-Baked Enchiladas</t>
  </si>
  <si>
    <t>Veg Fiesta Enchilada</t>
  </si>
  <si>
    <t>Chicken Enchilada</t>
  </si>
  <si>
    <t>Steak Enchilada</t>
  </si>
  <si>
    <t>Shrimp Enchilada</t>
  </si>
  <si>
    <t>Warm Fajita Wraps</t>
  </si>
  <si>
    <t>Spiced Veggie Fajita Wrap</t>
  </si>
  <si>
    <t>Grilled Chicken Fajita Wrap</t>
  </si>
  <si>
    <t>Spicy Shrimp Fajita Wrap</t>
  </si>
  <si>
    <t>Smoky Beef Fajita Wrap</t>
  </si>
  <si>
    <t>Crispy Chicken Fajita Wrap</t>
  </si>
  <si>
    <t>Fajita Fiesta Meals</t>
  </si>
  <si>
    <t>Spiced Veggie Fajita Meal</t>
  </si>
  <si>
    <t>Grilled Chicken Fajita Meal</t>
  </si>
  <si>
    <t>Spicy Prawn Fajita Meal</t>
  </si>
  <si>
    <t>Smoky Beef Fajita Meal</t>
  </si>
  <si>
    <t>Grilled Fish Fajita Meal</t>
  </si>
  <si>
    <t>Comforting Bowls</t>
  </si>
  <si>
    <t>Veg Burrito Bowl</t>
  </si>
  <si>
    <t>Grilled Chicken Burrito Bowl</t>
  </si>
  <si>
    <t>Grilled Shrimp Burrito Bowl</t>
  </si>
  <si>
    <t>Smoky Beef Burrito Bowl</t>
  </si>
  <si>
    <t>Ground Beef Burrito Bowl</t>
  </si>
  <si>
    <t>Hearty Taco Salads</t>
  </si>
  <si>
    <t>Grilled Chicken Taco Salad</t>
  </si>
  <si>
    <t>Grilled Shrimp Taco Salad</t>
  </si>
  <si>
    <t>Smoky Beef Taco Salad</t>
  </si>
  <si>
    <t>Ground Beef Taco Salad</t>
  </si>
  <si>
    <t>Veg Taco Salad</t>
  </si>
  <si>
    <t>Homestyle Sides</t>
  </si>
  <si>
    <t>French Fries</t>
  </si>
  <si>
    <t>Cheese Fries</t>
  </si>
  <si>
    <t>Nachos And Guacamole</t>
  </si>
  <si>
    <t>Cheesy Nachos</t>
  </si>
  <si>
    <t>Dynamite Shrimps</t>
  </si>
  <si>
    <t>Homemade Salsas &amp; Dips</t>
  </si>
  <si>
    <t>Honey Mustard Sauce</t>
  </si>
  <si>
    <t>Tangy Jalapeno Sauce</t>
  </si>
  <si>
    <t>Chimichurri Sauce</t>
  </si>
  <si>
    <t>Chipotle Sauce</t>
  </si>
  <si>
    <t>Spicy Green Sauce</t>
  </si>
  <si>
    <t>Tomato Ketchup</t>
  </si>
  <si>
    <t>Salsa Verde Sauce</t>
  </si>
  <si>
    <t>Spicy Mint Sauce</t>
  </si>
  <si>
    <t>Mayonnaise</t>
  </si>
  <si>
    <t>Chipotle Sour Cream</t>
  </si>
  <si>
    <t>Cooling Drinks</t>
  </si>
  <si>
    <t>Jarritos Soda</t>
  </si>
  <si>
    <t>Loco Taco, Picante, MexiGo, Casa Del Queso, Fiesta</t>
  </si>
  <si>
    <t>Ramadan Iftar Mexican Meal Solo</t>
  </si>
  <si>
    <t>Ramadan Iftar Mexican Meal Duo</t>
  </si>
  <si>
    <t>Ramadan Iftar Mexican Meal Family</t>
  </si>
  <si>
    <t>Ramadan Iftar Mexican Meal Feast</t>
  </si>
  <si>
    <t>Food Cost</t>
  </si>
  <si>
    <t>Mint Chutney</t>
  </si>
  <si>
    <t>Pickle</t>
  </si>
  <si>
    <t>Packaging</t>
  </si>
  <si>
    <t>Total Cost (AED)</t>
  </si>
  <si>
    <t>Veg Starters</t>
  </si>
  <si>
    <t>Hara Bhara Kabab</t>
  </si>
  <si>
    <t>Malai Broccoli</t>
  </si>
  <si>
    <t>Achari Paneer Tikka</t>
  </si>
  <si>
    <t>Paneer Malai Tikka</t>
  </si>
  <si>
    <t>Paneer Tikka</t>
  </si>
  <si>
    <t>Tandoori Cauliflower</t>
  </si>
  <si>
    <t>Achari Mushroom</t>
  </si>
  <si>
    <t>Soya Chaap Angaari</t>
  </si>
  <si>
    <t>Tandoori Malai Chaap</t>
  </si>
  <si>
    <t>Tandoori Mushroom</t>
  </si>
  <si>
    <t>Tandoori Soya Chaap</t>
  </si>
  <si>
    <t>Non-Veg Starters</t>
  </si>
  <si>
    <t>Chicken Seekh Kebab</t>
  </si>
  <si>
    <t>Reshmi Chicken Kebab</t>
  </si>
  <si>
    <t>Tangdi Kabab (2 Pcs)</t>
  </si>
  <si>
    <t>Tangdi Kabab (4 Pcs)</t>
  </si>
  <si>
    <t>Tangdi Kabab (6 Pcs)</t>
  </si>
  <si>
    <t>Afghani Chicken (Half)</t>
  </si>
  <si>
    <t>Afghani Chicken (Full)</t>
  </si>
  <si>
    <t>Ajwaini Chicken Tikka</t>
  </si>
  <si>
    <t>Banjara Chicken</t>
  </si>
  <si>
    <t>Haryali Chicken Tikka</t>
  </si>
  <si>
    <t>Malai Chicken Tikka</t>
  </si>
  <si>
    <t>Chicken Tikka</t>
  </si>
  <si>
    <t>Murg Angaari</t>
  </si>
  <si>
    <t>Tandoori Chicken (Half)</t>
  </si>
  <si>
    <t>Tandoori Chicken (Full)</t>
  </si>
  <si>
    <t>Tandoori Wings</t>
  </si>
  <si>
    <t>Grilled Prawns Tandoori</t>
  </si>
  <si>
    <t>Ajwaini Fish Tikka</t>
  </si>
  <si>
    <t>Hyderabadi Fish Tikka</t>
  </si>
  <si>
    <t>Fish Tikka</t>
  </si>
  <si>
    <t>Veg Mains</t>
  </si>
  <si>
    <t>Aloo Gobi</t>
  </si>
  <si>
    <t>Dal Tadka</t>
  </si>
  <si>
    <t>Jeera Aloo</t>
  </si>
  <si>
    <t>Mixed Vegetable Curry</t>
  </si>
  <si>
    <t>Soya Chaap Curry</t>
  </si>
  <si>
    <t>Dal Makhani</t>
  </si>
  <si>
    <t>Kadai Chaap</t>
  </si>
  <si>
    <t>Pindi Chole</t>
  </si>
  <si>
    <t>Chana Masala</t>
  </si>
  <si>
    <t>Rajma</t>
  </si>
  <si>
    <t>Dal Bukhara</t>
  </si>
  <si>
    <t>Dal Palak</t>
  </si>
  <si>
    <t>Methi Mutter Malai</t>
  </si>
  <si>
    <t>Kadhai Paneer</t>
  </si>
  <si>
    <t>Mushroom Masala</t>
  </si>
  <si>
    <t>Mutter Paneer</t>
  </si>
  <si>
    <t>Palak Paneer</t>
  </si>
  <si>
    <t>Paneer Bhurji</t>
  </si>
  <si>
    <t>Paneer Butter Masala</t>
  </si>
  <si>
    <t>Paneer Lababdar</t>
  </si>
  <si>
    <t>Shahi Paneer</t>
  </si>
  <si>
    <t>Paneer Pasanda</t>
  </si>
  <si>
    <t>Paneer Tikka Masala</t>
  </si>
  <si>
    <t>Malai Kofta</t>
  </si>
  <si>
    <t>Egg Masala Curry</t>
  </si>
  <si>
    <t>Non-Veg Mains</t>
  </si>
  <si>
    <t>Butter Chicken</t>
  </si>
  <si>
    <t>Chicken Kalimirch</t>
  </si>
  <si>
    <t>Chicken Lababdar</t>
  </si>
  <si>
    <t>Peshawari Murgh</t>
  </si>
  <si>
    <t>Chicken Tikka Masala</t>
  </si>
  <si>
    <t>Kadai Chicken</t>
  </si>
  <si>
    <t>Fish Tikka Curry</t>
  </si>
  <si>
    <t>Bhuna Mutton Curry</t>
  </si>
  <si>
    <t>Mutton Handi Curry</t>
  </si>
  <si>
    <t>Kadai Mutton</t>
  </si>
  <si>
    <t>Mutton Rogan Josh</t>
  </si>
  <si>
    <t>Mutton Saag</t>
  </si>
  <si>
    <t>Prawn Curry</t>
  </si>
  <si>
    <t>Rice</t>
  </si>
  <si>
    <t>Steamed Rice</t>
  </si>
  <si>
    <t>Ghee Rice</t>
  </si>
  <si>
    <t>Jeera Rice</t>
  </si>
  <si>
    <t>Veg Pulao</t>
  </si>
  <si>
    <t>Kashmiri Pulao</t>
  </si>
  <si>
    <t>Breads</t>
  </si>
  <si>
    <t>Tandoori Roti</t>
  </si>
  <si>
    <t>Butter Roti</t>
  </si>
  <si>
    <t>Missi Roti</t>
  </si>
  <si>
    <t>Plain Naan</t>
  </si>
  <si>
    <t>Butter Naan</t>
  </si>
  <si>
    <t>Garlic Naan</t>
  </si>
  <si>
    <t>Lachha Parantha</t>
  </si>
  <si>
    <t>Punjabi Kulcha</t>
  </si>
  <si>
    <t>Aloo Parantha</t>
  </si>
  <si>
    <t>Gobi Parantha</t>
  </si>
  <si>
    <t>Methi Parantha</t>
  </si>
  <si>
    <t>Mixed Veg Parantha</t>
  </si>
  <si>
    <t>Pudina Parantha</t>
  </si>
  <si>
    <t>Pyaaz Parantha</t>
  </si>
  <si>
    <t>Accompaniments</t>
  </si>
  <si>
    <t>Plain Dahi</t>
  </si>
  <si>
    <t>Boondi Raita</t>
  </si>
  <si>
    <t>Veg Raita</t>
  </si>
  <si>
    <t>Green Salad</t>
  </si>
  <si>
    <t>Coca Cola Can</t>
  </si>
  <si>
    <t>Coca Cola Zero Can</t>
  </si>
  <si>
    <t>Fanta Can</t>
  </si>
  <si>
    <t>Sprite Can</t>
  </si>
  <si>
    <t>Sprite Zero Can</t>
  </si>
  <si>
    <t>Hearty Feast</t>
  </si>
  <si>
    <t>Tandoori Combo</t>
  </si>
  <si>
    <t>Veg Feast</t>
  </si>
  <si>
    <t>Office Meal (Non Veg)</t>
  </si>
  <si>
    <t>Office Meal (Veg)</t>
  </si>
  <si>
    <t>Family Feast (Non Veg)</t>
  </si>
  <si>
    <t>Family Feast (Veg)</t>
  </si>
  <si>
    <t>PP</t>
  </si>
  <si>
    <t>Veg Complete Meal_PP_</t>
  </si>
  <si>
    <t>Non-Veg Complete Meal_PP_</t>
  </si>
  <si>
    <t>Curry Rice Bowl - Veg_PP_</t>
  </si>
  <si>
    <t>Curry Rice Bowl - Chicken_PP_</t>
  </si>
  <si>
    <t>Biryani Feast - Veg_PP_</t>
  </si>
  <si>
    <t>Dal &amp; Roti Special_PP_</t>
  </si>
  <si>
    <t>Paneer Lover's Combo_PP_</t>
  </si>
  <si>
    <t>Family Feast Box_PP_</t>
  </si>
  <si>
    <t>CC</t>
  </si>
  <si>
    <t>Veg Complete Meal_CC</t>
  </si>
  <si>
    <t>Non-Veg Complete Meal_CC</t>
  </si>
  <si>
    <t>Curry Rice Bowl - Veg_CC</t>
  </si>
  <si>
    <t>Curry Rice Bowl - Chicken_CC</t>
  </si>
  <si>
    <t>Biryani Feast - Veg_CC</t>
  </si>
  <si>
    <t>Dal &amp; Roti Special_CC</t>
  </si>
  <si>
    <t>Paneer Lover's Combo_CC</t>
  </si>
  <si>
    <t>Family Feast Box_CC</t>
  </si>
  <si>
    <t>Egg Bhurji</t>
  </si>
  <si>
    <t>Brand</t>
  </si>
  <si>
    <t>Final Price @ 30% discount</t>
  </si>
  <si>
    <t>Tandoori Tribe</t>
  </si>
  <si>
    <t>Ramadan Solo Tandoori Iftar</t>
  </si>
  <si>
    <t>Ramadan Couple Tandoori Iftar</t>
  </si>
  <si>
    <t>Ramadan Family Tandoori Iftar</t>
  </si>
  <si>
    <t>Ramadan Grand Tandoori Iftar</t>
  </si>
  <si>
    <t>Ramadan Vegetarian Tandoori Iftar</t>
  </si>
  <si>
    <t>Zaika Punjab</t>
  </si>
  <si>
    <t>Ramadan Solo Punjab Iftar</t>
  </si>
  <si>
    <t>Ramadan Couple Punjab Iftar</t>
  </si>
  <si>
    <t>Ramadan Family Punjab Iftar</t>
  </si>
  <si>
    <t>Ramadan Grand Punjab Iftar</t>
  </si>
  <si>
    <t>The Curry Club</t>
  </si>
  <si>
    <t>Ramadan Solo Curry Iftar</t>
  </si>
  <si>
    <t>Ramadan Couple Curry Iftar</t>
  </si>
  <si>
    <t>Ramadan Family Curry Iftar</t>
  </si>
  <si>
    <t>Ramadan Grand Curry Iftar</t>
  </si>
  <si>
    <t>Smoky Tandoor</t>
  </si>
  <si>
    <t>Ramadan Solo Smoky Iftar</t>
  </si>
  <si>
    <t>Ramadan Couple Smoky Iftar</t>
  </si>
  <si>
    <t>Ramadan Family Smoky Iftar</t>
  </si>
  <si>
    <t>Ramadan Grand Smoky Iftar</t>
  </si>
  <si>
    <t>Prawn Tempura</t>
  </si>
  <si>
    <t>Prawn Katsu</t>
  </si>
  <si>
    <t>Shrimp Dynamite</t>
  </si>
  <si>
    <t>Chicken Dynamite</t>
  </si>
  <si>
    <t>Shrimp Gyoza</t>
  </si>
  <si>
    <t>Chicken Gyoza</t>
  </si>
  <si>
    <t>Spicy Edamame</t>
  </si>
  <si>
    <t>Edamame</t>
  </si>
  <si>
    <t>Calamari</t>
  </si>
  <si>
    <t>Chicken Robatayaki</t>
  </si>
  <si>
    <t>Beef Robatayaki</t>
  </si>
  <si>
    <t>Tom Yum Soup</t>
  </si>
  <si>
    <t>Tom Yum Udon Soup</t>
  </si>
  <si>
    <t>Creamy Tom Yum</t>
  </si>
  <si>
    <t>Miso Soup</t>
  </si>
  <si>
    <t>Miso Beef Ramen</t>
  </si>
  <si>
    <t>Miso Chicken Ramen</t>
  </si>
  <si>
    <t>Salmon Crunch Salad</t>
  </si>
  <si>
    <t>Spicy Tuna Salad</t>
  </si>
  <si>
    <t>Chuka Wakame</t>
  </si>
  <si>
    <t>Crab Salad</t>
  </si>
  <si>
    <t>Cucumber Hosomaki</t>
  </si>
  <si>
    <t>Avocado Hosomaki</t>
  </si>
  <si>
    <t>Kani Hosomaki</t>
  </si>
  <si>
    <t>Salmon Hosomaki</t>
  </si>
  <si>
    <t>Tuna Hosomaki</t>
  </si>
  <si>
    <t>California Roll</t>
  </si>
  <si>
    <t>Dragon Roll</t>
  </si>
  <si>
    <t>Spicy Tuna Roll</t>
  </si>
  <si>
    <t>Rainbow Roll</t>
  </si>
  <si>
    <t>Mango Roll</t>
  </si>
  <si>
    <t>Crab Roll</t>
  </si>
  <si>
    <t>Philadelphia Roll</t>
  </si>
  <si>
    <t>Tempura Roll</t>
  </si>
  <si>
    <t>Spicy Salmon Roll</t>
  </si>
  <si>
    <t>Okinawa Roll</t>
  </si>
  <si>
    <t>Dynamite Roll</t>
  </si>
  <si>
    <t>Triple Crunch Prawn Roll</t>
  </si>
  <si>
    <t>Sakuragi Prawn Roll</t>
  </si>
  <si>
    <t>Crispy Chicken Fried Roll</t>
  </si>
  <si>
    <t>Crispy Shrimp Fried Roll</t>
  </si>
  <si>
    <t>Crispy Salmon Fried Roll</t>
  </si>
  <si>
    <t>Crispy Tuna Fried Roll</t>
  </si>
  <si>
    <t>Crispy Vegetarian Fried Roll</t>
  </si>
  <si>
    <t>Salmon Nigiri (2 pcs)</t>
  </si>
  <si>
    <t>Ebi Nigiri (2 pcs)</t>
  </si>
  <si>
    <t>Tuna Nigiri (2 pcs)</t>
  </si>
  <si>
    <t>Salmon Sashimi (3 pcs)</t>
  </si>
  <si>
    <t>Tuna Sashimi (3 pcs)</t>
  </si>
  <si>
    <t>Shrimp Udon</t>
  </si>
  <si>
    <t>Green Curry Udon</t>
  </si>
  <si>
    <t>Shrimp Yakisoba</t>
  </si>
  <si>
    <t>Vegetable Yakisoba</t>
  </si>
  <si>
    <t>Chicken Yakisoba</t>
  </si>
  <si>
    <t>Stir Fry Beef Rice</t>
  </si>
  <si>
    <t>Chicken Katsu Curry</t>
  </si>
  <si>
    <t>Chicken Katsu with Rice</t>
  </si>
  <si>
    <t>Chicken Teriyaki Rice</t>
  </si>
  <si>
    <t>Beef Teriyaki Rice</t>
  </si>
  <si>
    <t>The Solo Play</t>
  </si>
  <si>
    <t>Date Night Box</t>
  </si>
  <si>
    <t>The Power Feed</t>
  </si>
  <si>
    <t>The Crowd Pleaser</t>
  </si>
  <si>
    <t>Signature Flex</t>
  </si>
  <si>
    <t>Raw Bar Feast</t>
  </si>
  <si>
    <t>The Party Starter</t>
  </si>
  <si>
    <t>Oneesan</t>
  </si>
  <si>
    <t>Oneesan's Solace (Solo)</t>
  </si>
  <si>
    <t>Shared Harmony (Date)</t>
  </si>
  <si>
    <t>Simple Comforts (Fast)</t>
  </si>
  <si>
    <t>The Family Gathering (Party)</t>
  </si>
  <si>
    <t>Sister's Favorites (Premium)</t>
  </si>
  <si>
    <t>The Artisan's Palette (Raw)</t>
  </si>
  <si>
    <t>The Warm Welcome (Crowd)</t>
  </si>
  <si>
    <t>Hikari</t>
  </si>
  <si>
    <t>Norii</t>
  </si>
  <si>
    <t>The Solo Edit</t>
  </si>
  <si>
    <t>The Rendezvous</t>
  </si>
  <si>
    <t>The Daily Ritual</t>
  </si>
  <si>
    <t>The Socialite</t>
  </si>
  <si>
    <t>Norii Gold Collection</t>
  </si>
  <si>
    <t>The Sashimi Standard</t>
  </si>
  <si>
    <t>The After Hours</t>
  </si>
  <si>
    <t>The Classic Salmon</t>
  </si>
  <si>
    <t>Spicy Tuna &amp; Mango</t>
  </si>
  <si>
    <t>The Grand Tuna</t>
  </si>
  <si>
    <t>The All-Star</t>
  </si>
  <si>
    <t>Spicy Salmon Umami</t>
  </si>
  <si>
    <t>Island Fusion</t>
  </si>
  <si>
    <t>California Crab Bowl</t>
  </si>
  <si>
    <t>Shrimp Ceviche Bowl</t>
  </si>
  <si>
    <t>The Veggie Bliss</t>
  </si>
  <si>
    <t>Build Your Own - Regular Bowl (3 Proteins)</t>
  </si>
  <si>
    <t>Build Your Own - Large Bowl (4 Proteins)</t>
  </si>
  <si>
    <t>Build Your Own - Super Bowl (5 Proteins)</t>
  </si>
  <si>
    <t>Grilled Chicken Teppanyaki</t>
  </si>
  <si>
    <t>Grilled Shrimp Teppanyaki</t>
  </si>
  <si>
    <t>Salmon Sashimi</t>
  </si>
  <si>
    <t>Tuna Sashimi</t>
  </si>
  <si>
    <t>Honey Chilli Potato</t>
  </si>
  <si>
    <t>Classic Chicken Wrap</t>
  </si>
  <si>
    <t>Signature Combo</t>
  </si>
  <si>
    <t>Lunch Special</t>
  </si>
  <si>
    <t>Sashimi Set</t>
  </si>
  <si>
    <t>Family Deal</t>
  </si>
  <si>
    <t>Coca-Cola</t>
  </si>
  <si>
    <t>Coca-Cola Zero</t>
  </si>
  <si>
    <t>Soups (Veg)</t>
  </si>
  <si>
    <t>Cream of Tomato Soup</t>
  </si>
  <si>
    <t>Cream of Mushroom Soup</t>
  </si>
  <si>
    <t>Manchow Soup</t>
  </si>
  <si>
    <t>Hot &amp; Sour Soup</t>
  </si>
  <si>
    <t>Sweet Corn Soup</t>
  </si>
  <si>
    <t>Noodle Soup</t>
  </si>
  <si>
    <t>Clear Soup</t>
  </si>
  <si>
    <t>Soups (Non-Veg)</t>
  </si>
  <si>
    <t>Cream of Chicken Soup</t>
  </si>
  <si>
    <t>Chicken Manchow Soup</t>
  </si>
  <si>
    <t>Chk Hot &amp; Sour Soup</t>
  </si>
  <si>
    <t>Chk Sweet Corn Soup</t>
  </si>
  <si>
    <t>Chicken Noodle Soup</t>
  </si>
  <si>
    <t>Chicken Clear Soup</t>
  </si>
  <si>
    <t>Starters (Non Veg)</t>
  </si>
  <si>
    <t>Kung Pao Chicken</t>
  </si>
  <si>
    <t>Honey Chilli Chicken</t>
  </si>
  <si>
    <t>Teriyaki Chicken</t>
  </si>
  <si>
    <t>Chicken Lollipops</t>
  </si>
  <si>
    <t>Chicken 65</t>
  </si>
  <si>
    <t>Chk Manchurian Dry</t>
  </si>
  <si>
    <t>Stir Fried Chk Chilli</t>
  </si>
  <si>
    <t>Black Pepper Chicken</t>
  </si>
  <si>
    <t>Hot Garlic Chicken</t>
  </si>
  <si>
    <t>Mountain Chilli Chk</t>
  </si>
  <si>
    <t>Chk Spring Rolls (8pc)</t>
  </si>
  <si>
    <t>Tempura Shrimp</t>
  </si>
  <si>
    <t>Chilli Garlic Prawns</t>
  </si>
  <si>
    <t>Black Pepper Prawns</t>
  </si>
  <si>
    <t>Teriyaki Prawns</t>
  </si>
  <si>
    <t>Mountain Chilli Prawn</t>
  </si>
  <si>
    <t>Kung Pao Prawns</t>
  </si>
  <si>
    <t>Tempura Chicken</t>
  </si>
  <si>
    <t>Dynamite Chicken</t>
  </si>
  <si>
    <t>Mountain Chilli Beef</t>
  </si>
  <si>
    <t>Black Pepper Beef</t>
  </si>
  <si>
    <t>Kung Pao Beef</t>
  </si>
  <si>
    <t>Teriyaki Beef</t>
  </si>
  <si>
    <t>Honey Chilli Beef</t>
  </si>
  <si>
    <t>Starters (Veg)</t>
  </si>
  <si>
    <t>Kung Pao Paneer</t>
  </si>
  <si>
    <t>Paneer 65</t>
  </si>
  <si>
    <t>Veg Spring Rolls (8pc)</t>
  </si>
  <si>
    <t>Stir Fried Paneer Chilli</t>
  </si>
  <si>
    <t>Veg Manchurian Dry</t>
  </si>
  <si>
    <t>Dumplings (Non Veg)</t>
  </si>
  <si>
    <t>Steamed Chk Dumplings</t>
  </si>
  <si>
    <t>Steamed Prawns Gyoza</t>
  </si>
  <si>
    <t>Chilli Style Chk Dumplings</t>
  </si>
  <si>
    <t>Spicy 65 Chk Momos</t>
  </si>
  <si>
    <t>Shanghai Style Chk Dumplings</t>
  </si>
  <si>
    <t>Chilli Style Prawns Gyoza</t>
  </si>
  <si>
    <t>Schezwan Chk Momos</t>
  </si>
  <si>
    <t>Kung Pao Chk Dumplings</t>
  </si>
  <si>
    <t>Honey Chilli Chk Dumplings</t>
  </si>
  <si>
    <t>Chicken Tandoori Momos</t>
  </si>
  <si>
    <t>Kung Pao Prawns Gyoza</t>
  </si>
  <si>
    <t>Dumplings (Veg)</t>
  </si>
  <si>
    <t>Steamed Veg Dumplings</t>
  </si>
  <si>
    <t>Spicy 65 Veg Momos</t>
  </si>
  <si>
    <t>Shanghai Style Veg Dumplings</t>
  </si>
  <si>
    <t>Kung Pao Veg Dumplings</t>
  </si>
  <si>
    <t>Honey Chilli Veg Dumplings</t>
  </si>
  <si>
    <t>Chilli Style Veg Dumplings</t>
  </si>
  <si>
    <t>Schezwan Veg Momos</t>
  </si>
  <si>
    <t>Mains (Non Veg)</t>
  </si>
  <si>
    <t>Chicken Kung Pao Sauce</t>
  </si>
  <si>
    <t>Chilli Chicken Gravy</t>
  </si>
  <si>
    <t>Chk Manchurian Gravy</t>
  </si>
  <si>
    <t>Chk Black Pepper Sauce</t>
  </si>
  <si>
    <t>Chicken Schezwan Sauce</t>
  </si>
  <si>
    <t>Chk Oyster Chilli Sauce</t>
  </si>
  <si>
    <t>Mongolian Chicken</t>
  </si>
  <si>
    <t>Beef Black Pepper</t>
  </si>
  <si>
    <t>Mongolian Beef</t>
  </si>
  <si>
    <t>Mains (Veg)</t>
  </si>
  <si>
    <t>Paneer Chilli Gravy</t>
  </si>
  <si>
    <t>Veg Schezwan Gravy</t>
  </si>
  <si>
    <t>Veg Manchurian Gravy</t>
  </si>
  <si>
    <t>Veg Kung Pao Sauce</t>
  </si>
  <si>
    <t>Rice &amp; Noodles</t>
  </si>
  <si>
    <t>Schezwan Fried Rice</t>
  </si>
  <si>
    <t>Fried Rice</t>
  </si>
  <si>
    <t>Burnt Garlic Rice</t>
  </si>
  <si>
    <t>Chilli Garlic Rice</t>
  </si>
  <si>
    <t>Street Style Chowmein</t>
  </si>
  <si>
    <t>Hakka Noodles</t>
  </si>
  <si>
    <t>Schezwan Noodles</t>
  </si>
  <si>
    <t>Singapore Noodles</t>
  </si>
  <si>
    <t>Chilli Garlic Noodles</t>
  </si>
  <si>
    <t>Shanghai Noodles</t>
  </si>
  <si>
    <t>Triple Schezwan Rice</t>
  </si>
  <si>
    <t>Variant</t>
  </si>
  <si>
    <t>Soup</t>
  </si>
  <si>
    <t>Veg</t>
  </si>
  <si>
    <t>Manchow Soup (Veg)</t>
  </si>
  <si>
    <t>Manchow Soup  (Chicken)</t>
  </si>
  <si>
    <t>Chicken</t>
  </si>
  <si>
    <t>Manchow Soup  (Shrimp)</t>
  </si>
  <si>
    <t>Shrimp</t>
  </si>
  <si>
    <t>Hot &amp; Sour Soup (Veg)</t>
  </si>
  <si>
    <t>Hot &amp; Sour Soup  (Chicken)</t>
  </si>
  <si>
    <t>Hot &amp; Sour Soup  (Shrimp)</t>
  </si>
  <si>
    <t>Sweet Corn Soup (Veg)</t>
  </si>
  <si>
    <t>Sweet Corn Soup  (Chicken)</t>
  </si>
  <si>
    <t>Sweet Corn Soup  (Shrimp)</t>
  </si>
  <si>
    <t>Noodle Soup (Veg)</t>
  </si>
  <si>
    <t>Noodle Soup  (Chicken)</t>
  </si>
  <si>
    <t>Noodle Soup  (Shrimp)</t>
  </si>
  <si>
    <t>Clear Soup (Veg)</t>
  </si>
  <si>
    <t>Clear Soup  (Chicken)</t>
  </si>
  <si>
    <t>Clear Soup  (Shrimp)</t>
  </si>
  <si>
    <t>Veg Spring Rolls (8 pcs)</t>
  </si>
  <si>
    <t>Honey Chilli Veg</t>
  </si>
  <si>
    <t>Veg Manchurian</t>
  </si>
  <si>
    <t>Stir Fried Chilli</t>
  </si>
  <si>
    <t>Veg 65</t>
  </si>
  <si>
    <t>Kung Pao Veg</t>
  </si>
  <si>
    <t>Non Veg Starters</t>
  </si>
  <si>
    <t>Chicken Spring Rolls (8 pcs)</t>
  </si>
  <si>
    <t>Chicken Manchurian (Dry)</t>
  </si>
  <si>
    <t>Chicken Manchurian (Dry) (Chicken)</t>
  </si>
  <si>
    <t>Chicken Manchurian (Dry) (Shrimp)</t>
  </si>
  <si>
    <t>Kung Pao Chicken (Chicken)</t>
  </si>
  <si>
    <t>Kung Pao Chicken (Shrimp)</t>
  </si>
  <si>
    <t>Honey Chilli Chicken (Chicken)</t>
  </si>
  <si>
    <t>Honey Chilli Chicken (Shrimp)</t>
  </si>
  <si>
    <t>Teriyaki Chicken (Chicken)</t>
  </si>
  <si>
    <t>Teriyaki Chicken (Shrimp)</t>
  </si>
  <si>
    <t>Black Pepper Chicken (Chicken)</t>
  </si>
  <si>
    <t>Black Pepper Chicken (Shrimp)</t>
  </si>
  <si>
    <t>Hot Garlic Chicken (Chicken)</t>
  </si>
  <si>
    <t>Hot Garlic Chicken (Shrimp)</t>
  </si>
  <si>
    <t>Mountain Chilli Chicken</t>
  </si>
  <si>
    <t>Mountain Chilli Chicken (Chicken)</t>
  </si>
  <si>
    <t>Mountain Chilli Chicken (Shrimp)</t>
  </si>
  <si>
    <t>Stir Fried Chicken Chilli</t>
  </si>
  <si>
    <t>Stir Fried Chicken Chilli (Chicken)</t>
  </si>
  <si>
    <t>Stir Fried Chicken Chilli (Shrimp)</t>
  </si>
  <si>
    <t>Dynamite Chicken (Chicken)</t>
  </si>
  <si>
    <t>Tempura Chicken (Chicken)</t>
  </si>
  <si>
    <t>Veg Kung Pao (Gravy)</t>
  </si>
  <si>
    <t>Kung Pao (Gravy) (Chicken)</t>
  </si>
  <si>
    <t>Veg Manchurian (Gravy)</t>
  </si>
  <si>
    <t>Manchurian (Gravy) (Chicken)</t>
  </si>
  <si>
    <t>Veg Oyster Chilli (Gravy)</t>
  </si>
  <si>
    <t>Oyster Chilli (Gravy) (Chicken)</t>
  </si>
  <si>
    <t>Veg Schezwan (Gravy)</t>
  </si>
  <si>
    <t>Schezwan (Gravy) (Chicken)</t>
  </si>
  <si>
    <t>Veg Black Pepper (Gravy)</t>
  </si>
  <si>
    <t>Black Pepper (Gravy) (Chicken)</t>
  </si>
  <si>
    <t>Chilli Veg (Gravy)</t>
  </si>
  <si>
    <t>Chilli (Gravy) (Chicken)</t>
  </si>
  <si>
    <t>Honey Chilli Veg (Gravy)</t>
  </si>
  <si>
    <t>Honey Chilli (Gravy) (Chicken)</t>
  </si>
  <si>
    <t>Mongolian Veg  (Gravy)</t>
  </si>
  <si>
    <t>Mongolian  (Gravy) (Chicken)</t>
  </si>
  <si>
    <t>65 (Chicken)</t>
  </si>
  <si>
    <t>Non Veg Mains</t>
  </si>
  <si>
    <t>Non Veg Kung Pao (Gravy)</t>
  </si>
  <si>
    <t>Non Kung Pao (Gravy) (Chicken)</t>
  </si>
  <si>
    <t>Non Kung Pao (Gravy) (Shrimp)</t>
  </si>
  <si>
    <t>Non Veg Manchurian (Gravy)</t>
  </si>
  <si>
    <t>Non Manchurian (Gravy) (Chicken)</t>
  </si>
  <si>
    <t>Non Manchurian (Gravy) (Shrimp)</t>
  </si>
  <si>
    <t>Non Veg Oyster Chilli (Gravy)</t>
  </si>
  <si>
    <t>Non Oyster Chilli (Gravy) (Chicken)</t>
  </si>
  <si>
    <t>Non Oyster Chilli (Gravy) (Shrimp)</t>
  </si>
  <si>
    <t>Non Veg Schezwan (Gravy)</t>
  </si>
  <si>
    <t>Non Schezwan (Gravy) (Chicken)</t>
  </si>
  <si>
    <t>Non Schezwan (Gravy) (Shrimp)</t>
  </si>
  <si>
    <t>Non Veg Black Pepper (Gravy)</t>
  </si>
  <si>
    <t>Non Black Pepper (Gravy) (Chicken)</t>
  </si>
  <si>
    <t>Non Black Pepper (Gravy) (Shrimp)</t>
  </si>
  <si>
    <t>Chilli Non Veg (Gravy)</t>
  </si>
  <si>
    <t>Chilli Non (Gravy) (Chicken)</t>
  </si>
  <si>
    <t>Chilli Non (Gravy) (Shrimp)</t>
  </si>
  <si>
    <t>Honey Chilli Non Veg (Gravy)</t>
  </si>
  <si>
    <t>Honey Chilli Non (Gravy) (Chicken)</t>
  </si>
  <si>
    <t>Honey Chilli Non (Gravy) (Shrimp)</t>
  </si>
  <si>
    <t>Mongolian Non Veg (Gravy)</t>
  </si>
  <si>
    <t>Mongolian Non (Gravy) (Chicken)</t>
  </si>
  <si>
    <t>Mongolian Non (Gravy) (Shrimp)</t>
  </si>
  <si>
    <t>Momos</t>
  </si>
  <si>
    <t>Kung Pao Momos</t>
  </si>
  <si>
    <t>Manchurian Momos</t>
  </si>
  <si>
    <t>Oyster Chilli Momos</t>
  </si>
  <si>
    <t>Schezwan Momos</t>
  </si>
  <si>
    <t>Black Pepper Momos</t>
  </si>
  <si>
    <t>Chilli Momos</t>
  </si>
  <si>
    <t>Honey Chilli Momos</t>
  </si>
  <si>
    <t>Mongolian Momos</t>
  </si>
  <si>
    <t>Fried Rice (Chicken)</t>
  </si>
  <si>
    <t>Fried Rice (Shrimp)</t>
  </si>
  <si>
    <t>Schezwan Fried Rice (Chicken)</t>
  </si>
  <si>
    <t>Schezwan Fried Rice (Shrimp)</t>
  </si>
  <si>
    <t>Triple Schezwan Fried Rice</t>
  </si>
  <si>
    <t>Triple Schezwan Fried Rice (Shrimp)</t>
  </si>
  <si>
    <t>Burnt Garlic Rice (Chicken)</t>
  </si>
  <si>
    <t>Burnt Garlic Rice (Shrimp)</t>
  </si>
  <si>
    <t>Chilli Garlic Rice (Chicken)</t>
  </si>
  <si>
    <t>Chilli Garlic Rice (Shrimp)</t>
  </si>
  <si>
    <t>Street Style Chowmein (Chicken)</t>
  </si>
  <si>
    <t>Street Style Chowmein (Shrimp)</t>
  </si>
  <si>
    <t>Hakka Noodles (Chicken)</t>
  </si>
  <si>
    <t>Hakka Noodles (Shrimp)</t>
  </si>
  <si>
    <t>Schezwan Noodles (Chicken)</t>
  </si>
  <si>
    <t>Schezwan Noodles (Shrimp)</t>
  </si>
  <si>
    <t>Singapore Noodles (Chicken)</t>
  </si>
  <si>
    <t>Singapore Noodles (Shrimp)</t>
  </si>
  <si>
    <t>Chilli Garlic Noodles (Chicken)</t>
  </si>
  <si>
    <t>Chilli Garlic Noodles (Shrimp)</t>
  </si>
  <si>
    <t>Shanghai Stir-Fried Noodles</t>
  </si>
  <si>
    <t>Shanghai Stir-Fried Noodles (Chicken)</t>
  </si>
  <si>
    <t>Shanghai Stir-Fried Noodles (Shrimp)</t>
  </si>
  <si>
    <t>Water 500 ml</t>
  </si>
  <si>
    <t>Coca Cola 300 ml</t>
  </si>
  <si>
    <t>Coca Cola Zero 300 ml</t>
  </si>
  <si>
    <t>Sprite 300 ml</t>
  </si>
  <si>
    <t>Sprite Zero 300 ml</t>
  </si>
  <si>
    <t>Fanta 300 ml</t>
  </si>
  <si>
    <t>Tteokbokki with Cheese</t>
  </si>
  <si>
    <t>Gyeran-mari (Rolled Omelette)</t>
  </si>
  <si>
    <t>Cheese and Veg Kimbap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</si>
</sst>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2" fillId="0" borderId="0"/>
    <xf numFmtId="9" fontId="2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0" fillId="0" borderId="0" xfId="2" applyFont="1"/>
    <xf numFmtId="4" fontId="0" fillId="0" borderId="0" xfId="0" applyNumberFormat="1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/>
    <xf numFmtId="43" fontId="0" fillId="0" borderId="0" xfId="1" applyFont="1"/>
    <xf numFmtId="43" fontId="1" fillId="2" borderId="1" xfId="1" applyFont="1" applyFill="1" applyBorder="1" applyAlignment="1">
      <alignment horizontal="center"/>
    </xf>
    <xf numFmtId="43" fontId="0" fillId="0" borderId="1" xfId="1" applyFont="1" applyBorder="1" applyAlignment="1">
      <alignment horizontal="right"/>
    </xf>
    <xf numFmtId="43" fontId="0" fillId="0" borderId="0" xfId="0" applyNumberFormat="1"/>
    <xf numFmtId="1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sh\Downloads\Product%20list.xlsx" TargetMode="External"/><Relationship Id="rId1" Type="http://schemas.openxmlformats.org/officeDocument/2006/relationships/externalLinkPath" Target="file:///C:\Users\harsh\Downloads\Produc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Achari Mushroom</v>
          </cell>
          <cell r="C2">
            <v>45</v>
          </cell>
        </row>
        <row r="3">
          <cell r="B3" t="str">
            <v>Achari Paneer Tikka</v>
          </cell>
          <cell r="C3">
            <v>47</v>
          </cell>
        </row>
        <row r="4">
          <cell r="B4" t="str">
            <v>Afghani Chicken (Full)</v>
          </cell>
          <cell r="C4">
            <v>98</v>
          </cell>
        </row>
        <row r="5">
          <cell r="B5" t="str">
            <v>Afghani Chicken (Half)</v>
          </cell>
          <cell r="C5">
            <v>57</v>
          </cell>
        </row>
        <row r="6">
          <cell r="B6" t="str">
            <v>Afghani Chicken Full</v>
          </cell>
          <cell r="C6">
            <v>108</v>
          </cell>
        </row>
        <row r="7">
          <cell r="B7" t="str">
            <v>Afghani Chicken Half</v>
          </cell>
          <cell r="C7">
            <v>69</v>
          </cell>
        </row>
        <row r="8">
          <cell r="B8" t="str">
            <v>Ajwaini Chicken Tikka</v>
          </cell>
          <cell r="C8">
            <v>49</v>
          </cell>
        </row>
        <row r="9">
          <cell r="B9" t="str">
            <v>Ajwaini Fish Tikka</v>
          </cell>
          <cell r="C9">
            <v>32</v>
          </cell>
        </row>
        <row r="10">
          <cell r="B10" t="str">
            <v>Aloo Gobi</v>
          </cell>
          <cell r="C10">
            <v>24</v>
          </cell>
        </row>
        <row r="11">
          <cell r="B11" t="str">
            <v>Apple &amp; Date</v>
          </cell>
          <cell r="C11">
            <v>48</v>
          </cell>
        </row>
        <row r="12">
          <cell r="B12" t="str">
            <v>Apple &amp; Date Oats</v>
          </cell>
          <cell r="C12">
            <v>58</v>
          </cell>
        </row>
        <row r="13">
          <cell r="B13" t="str">
            <v>Apple &amp; Dates</v>
          </cell>
          <cell r="C13">
            <v>65</v>
          </cell>
        </row>
        <row r="14">
          <cell r="B14" t="str">
            <v>Apple and Date Oats</v>
          </cell>
          <cell r="C14">
            <v>42</v>
          </cell>
        </row>
        <row r="15">
          <cell r="B15" t="str">
            <v>Arwa (Water) 500 ml</v>
          </cell>
          <cell r="C15">
            <v>4</v>
          </cell>
        </row>
        <row r="16">
          <cell r="B16" t="str">
            <v>Asian Chicken Wrap</v>
          </cell>
          <cell r="C16">
            <v>56</v>
          </cell>
        </row>
        <row r="17">
          <cell r="B17" t="str">
            <v>Asian Ranch Burger</v>
          </cell>
          <cell r="C17">
            <v>57</v>
          </cell>
        </row>
        <row r="18">
          <cell r="B18" t="str">
            <v>Asian Ranch Sliders</v>
          </cell>
          <cell r="C18">
            <v>62</v>
          </cell>
        </row>
        <row r="19">
          <cell r="B19" t="str">
            <v>Asian Chicken Wrap</v>
          </cell>
          <cell r="C19">
            <v>40</v>
          </cell>
        </row>
        <row r="20">
          <cell r="B20" t="str">
            <v>Avocado &amp; Egg Bagel</v>
          </cell>
          <cell r="C20">
            <v>65</v>
          </cell>
        </row>
        <row r="21">
          <cell r="B21" t="str">
            <v>Avocado &amp; Egg Bagels</v>
          </cell>
          <cell r="C21">
            <v>65</v>
          </cell>
        </row>
        <row r="22">
          <cell r="B22" t="str">
            <v>Avocado Falafel Slider</v>
          </cell>
          <cell r="C22">
            <v>48</v>
          </cell>
        </row>
        <row r="23">
          <cell r="B23" t="str">
            <v>Avocado Grilled Halloumi Slider</v>
          </cell>
          <cell r="C23">
            <v>59</v>
          </cell>
        </row>
        <row r="24">
          <cell r="B24" t="str">
            <v>Avocado Hosomaki</v>
          </cell>
          <cell r="C24">
            <v>34</v>
          </cell>
        </row>
        <row r="25">
          <cell r="B25" t="str">
            <v>Avocado Ranch Dip</v>
          </cell>
          <cell r="C25">
            <v>8</v>
          </cell>
        </row>
        <row r="26">
          <cell r="B26" t="str">
            <v>Avocado Slices</v>
          </cell>
          <cell r="C26">
            <v>20</v>
          </cell>
        </row>
        <row r="27">
          <cell r="B27" t="str">
            <v>Avocado and Chicken Burrito</v>
          </cell>
          <cell r="C27">
            <v>64</v>
          </cell>
        </row>
        <row r="28">
          <cell r="B28" t="str">
            <v>Avocados &amp; Egg Bagel</v>
          </cell>
          <cell r="C28">
            <v>78</v>
          </cell>
        </row>
        <row r="29">
          <cell r="B29" t="str">
            <v>B.E.C. Bagel</v>
          </cell>
          <cell r="C29">
            <v>65</v>
          </cell>
        </row>
        <row r="30">
          <cell r="B30" t="str">
            <v>BBQ Chicken Wrap</v>
          </cell>
          <cell r="C30">
            <v>57</v>
          </cell>
        </row>
        <row r="31">
          <cell r="B31" t="str">
            <v>BBQ Crispy Beef Burger</v>
          </cell>
          <cell r="C31">
            <v>71</v>
          </cell>
        </row>
        <row r="32">
          <cell r="B32" t="str">
            <v>BBQ Crispy Beef Sliders</v>
          </cell>
          <cell r="C32">
            <v>75</v>
          </cell>
        </row>
        <row r="33">
          <cell r="B33" t="str">
            <v>BBQ Falafel Slider</v>
          </cell>
          <cell r="C33">
            <v>48</v>
          </cell>
        </row>
        <row r="34">
          <cell r="B34" t="str">
            <v>BBQ Grilled Halloumi Slider</v>
          </cell>
          <cell r="C34">
            <v>58</v>
          </cell>
        </row>
        <row r="35">
          <cell r="B35" t="str">
            <v>Bacon Beef Burger</v>
          </cell>
          <cell r="C35">
            <v>72</v>
          </cell>
        </row>
        <row r="36">
          <cell r="B36" t="str">
            <v>Bacon Beef Sliders</v>
          </cell>
          <cell r="C36">
            <v>76</v>
          </cell>
        </row>
        <row r="37">
          <cell r="B37" t="str">
            <v>Banana &amp; Peanut Butter</v>
          </cell>
          <cell r="C37">
            <v>52</v>
          </cell>
        </row>
        <row r="38">
          <cell r="B38" t="str">
            <v>Banana &amp; Peanut Butter Oats</v>
          </cell>
          <cell r="C38">
            <v>58</v>
          </cell>
        </row>
        <row r="39">
          <cell r="B39" t="str">
            <v>Banana Peanut Butter Overnight Oats</v>
          </cell>
          <cell r="C39">
            <v>45</v>
          </cell>
        </row>
        <row r="40">
          <cell r="B40" t="str">
            <v>Banana and Peanut Butter</v>
          </cell>
          <cell r="C40">
            <v>62</v>
          </cell>
        </row>
        <row r="41">
          <cell r="B41" t="str">
            <v>Banjara Chicken</v>
          </cell>
          <cell r="C41">
            <v>50</v>
          </cell>
        </row>
        <row r="42">
          <cell r="B42" t="str">
            <v>Beef Bacon (3 Strips)</v>
          </cell>
          <cell r="C42">
            <v>22</v>
          </cell>
        </row>
        <row r="43">
          <cell r="B43" t="str">
            <v>Beef Bacon Strips</v>
          </cell>
          <cell r="C43">
            <v>28</v>
          </cell>
        </row>
        <row r="44">
          <cell r="B44" t="str">
            <v>Beef Bibimbap</v>
          </cell>
          <cell r="C44">
            <v>79</v>
          </cell>
        </row>
        <row r="45">
          <cell r="B45" t="str">
            <v>Beef Burger Combo Meal for 1</v>
          </cell>
          <cell r="C45">
            <v>80</v>
          </cell>
        </row>
        <row r="46">
          <cell r="B46" t="str">
            <v>Beef Burger Combo Meal for 2</v>
          </cell>
          <cell r="C46">
            <v>132</v>
          </cell>
        </row>
        <row r="47">
          <cell r="B47" t="str">
            <v>Beef Burger Combo Meal for 4</v>
          </cell>
          <cell r="C47">
            <v>192</v>
          </cell>
        </row>
        <row r="48">
          <cell r="B48" t="str">
            <v>Beef Burger Quesadilla</v>
          </cell>
          <cell r="C48">
            <v>71</v>
          </cell>
        </row>
        <row r="49">
          <cell r="B49" t="str">
            <v>Beef Burgers</v>
          </cell>
          <cell r="C49">
            <v>69</v>
          </cell>
        </row>
        <row r="50">
          <cell r="B50" t="str">
            <v>Beef Double Cheese Burger</v>
          </cell>
          <cell r="C50">
            <v>72</v>
          </cell>
        </row>
        <row r="51">
          <cell r="B51" t="str">
            <v>Beef Double Cheese Sliders</v>
          </cell>
          <cell r="C51">
            <v>73</v>
          </cell>
        </row>
        <row r="52">
          <cell r="B52" t="str">
            <v>Beef Kimbap</v>
          </cell>
          <cell r="C52">
            <v>74</v>
          </cell>
        </row>
        <row r="53">
          <cell r="B53" t="str">
            <v>Beef Ramen</v>
          </cell>
          <cell r="C53">
            <v>84</v>
          </cell>
        </row>
        <row r="54">
          <cell r="B54" t="str">
            <v>Beef Robatayaki</v>
          </cell>
          <cell r="C54">
            <v>72</v>
          </cell>
        </row>
        <row r="55">
          <cell r="B55" t="str">
            <v>Beef Slaw Burger</v>
          </cell>
          <cell r="C55">
            <v>71</v>
          </cell>
        </row>
        <row r="56">
          <cell r="B56" t="str">
            <v>Beef Slaw Sliders</v>
          </cell>
          <cell r="C56">
            <v>71</v>
          </cell>
        </row>
        <row r="57">
          <cell r="B57" t="str">
            <v>Beef Sliders</v>
          </cell>
          <cell r="C57">
            <v>64</v>
          </cell>
        </row>
        <row r="58">
          <cell r="B58" t="str">
            <v>Beef Sliders Meal for 1</v>
          </cell>
          <cell r="C58">
            <v>77</v>
          </cell>
        </row>
        <row r="59">
          <cell r="B59" t="str">
            <v>Beef Sliders Meal for 2</v>
          </cell>
          <cell r="C59">
            <v>126</v>
          </cell>
        </row>
        <row r="60">
          <cell r="B60" t="str">
            <v>Beef Sliders Meals for 4</v>
          </cell>
          <cell r="C60">
            <v>186</v>
          </cell>
        </row>
        <row r="61">
          <cell r="B61" t="str">
            <v>Beef Tacos</v>
          </cell>
          <cell r="C61">
            <v>76</v>
          </cell>
        </row>
        <row r="62">
          <cell r="B62" t="str">
            <v>Beef Teriyaki Rice</v>
          </cell>
          <cell r="C62">
            <v>74</v>
          </cell>
        </row>
        <row r="63">
          <cell r="B63" t="str">
            <v>Beef Bibimbap</v>
          </cell>
          <cell r="C63">
            <v>79</v>
          </cell>
        </row>
        <row r="64">
          <cell r="B64" t="str">
            <v>Beef Kimbap</v>
          </cell>
          <cell r="C64">
            <v>65</v>
          </cell>
        </row>
        <row r="65">
          <cell r="B65" t="str">
            <v>Beef Ramen</v>
          </cell>
          <cell r="C65">
            <v>81</v>
          </cell>
        </row>
        <row r="66">
          <cell r="B66" t="str">
            <v>Berry Blast</v>
          </cell>
          <cell r="C66">
            <v>48</v>
          </cell>
        </row>
        <row r="67">
          <cell r="B67" t="str">
            <v>Berry Blast Acai Bowl</v>
          </cell>
          <cell r="C67">
            <v>75</v>
          </cell>
        </row>
        <row r="68">
          <cell r="B68" t="str">
            <v>Berry Blast Acai Bowl</v>
          </cell>
          <cell r="C68">
            <v>58</v>
          </cell>
        </row>
        <row r="69">
          <cell r="B69" t="str">
            <v>Berry Power Oats</v>
          </cell>
          <cell r="C69">
            <v>58</v>
          </cell>
        </row>
        <row r="70">
          <cell r="B70" t="str">
            <v>Bhuna Mutton Curry</v>
          </cell>
          <cell r="C70">
            <v>57</v>
          </cell>
        </row>
        <row r="71">
          <cell r="B71" t="str">
            <v>Biryani Feast - Veg</v>
          </cell>
          <cell r="C71">
            <v>56</v>
          </cell>
        </row>
        <row r="72">
          <cell r="B72" t="str">
            <v>Biscoff Sauce</v>
          </cell>
          <cell r="C72">
            <v>10</v>
          </cell>
        </row>
        <row r="73">
          <cell r="B73" t="str">
            <v>Boondi Raita</v>
          </cell>
          <cell r="C73">
            <v>18</v>
          </cell>
        </row>
        <row r="74">
          <cell r="B74" t="str">
            <v>Breakfast Bao Trio</v>
          </cell>
          <cell r="C74">
            <v>65</v>
          </cell>
        </row>
        <row r="75">
          <cell r="B75" t="str">
            <v>Breakfast Tacos (3 Pcs)</v>
          </cell>
          <cell r="C75">
            <v>58</v>
          </cell>
        </row>
        <row r="76">
          <cell r="B76" t="str">
            <v>Buffalo Beef Burger</v>
          </cell>
          <cell r="C76">
            <v>71</v>
          </cell>
        </row>
        <row r="77">
          <cell r="B77" t="str">
            <v>Buffalo Beef Sliders</v>
          </cell>
          <cell r="C77">
            <v>71</v>
          </cell>
        </row>
        <row r="78">
          <cell r="B78" t="str">
            <v>Buffalo Chicken Wrap</v>
          </cell>
          <cell r="C78">
            <v>57</v>
          </cell>
        </row>
        <row r="79">
          <cell r="B79" t="str">
            <v>Buffalo Falafel Slider</v>
          </cell>
          <cell r="C79">
            <v>48</v>
          </cell>
        </row>
        <row r="80">
          <cell r="B80" t="str">
            <v>Buffalo Grilled Halloumi Slider</v>
          </cell>
          <cell r="C80">
            <v>58</v>
          </cell>
        </row>
        <row r="81">
          <cell r="B81" t="str">
            <v>Buffalo Chicken Wrap</v>
          </cell>
          <cell r="C81">
            <v>40</v>
          </cell>
        </row>
        <row r="82">
          <cell r="B82" t="str">
            <v>Build Your Own - Large Bowl (4 Proteins)</v>
          </cell>
          <cell r="C82">
            <v>84</v>
          </cell>
        </row>
        <row r="83">
          <cell r="B83" t="str">
            <v>Build Your Own - Large Bowl (4 Proteins)</v>
          </cell>
          <cell r="C83">
            <v>84</v>
          </cell>
        </row>
        <row r="84">
          <cell r="B84" t="str">
            <v>Build Your Own - Regular Bowl (3 Proteins)</v>
          </cell>
          <cell r="C84">
            <v>78</v>
          </cell>
        </row>
        <row r="85">
          <cell r="B85" t="str">
            <v>Build Your Own - Regular Bowl (3 Proteins)</v>
          </cell>
          <cell r="C85">
            <v>77</v>
          </cell>
        </row>
        <row r="86">
          <cell r="B86" t="str">
            <v>Build Your Own - Super Bowl (5 Proteins)</v>
          </cell>
          <cell r="C86">
            <v>91</v>
          </cell>
        </row>
        <row r="87">
          <cell r="B87" t="str">
            <v>Build Your Own - Super Bowl (5 Proteins)</v>
          </cell>
          <cell r="C87">
            <v>92</v>
          </cell>
        </row>
        <row r="88">
          <cell r="B88" t="str">
            <v>Bulgogi Deopbap</v>
          </cell>
          <cell r="C88">
            <v>79</v>
          </cell>
        </row>
        <row r="89">
          <cell r="B89" t="str">
            <v>Bulgogi Deopbap</v>
          </cell>
          <cell r="C89">
            <v>76</v>
          </cell>
        </row>
        <row r="90">
          <cell r="B90" t="str">
            <v>Butter Chicken</v>
          </cell>
          <cell r="C90">
            <v>44</v>
          </cell>
        </row>
        <row r="91">
          <cell r="B91" t="str">
            <v>Butter Naan</v>
          </cell>
          <cell r="C91">
            <v>16</v>
          </cell>
        </row>
        <row r="92">
          <cell r="B92" t="str">
            <v>Butter Roti</v>
          </cell>
          <cell r="C92">
            <v>15</v>
          </cell>
        </row>
        <row r="93">
          <cell r="B93" t="str">
            <v>Calamari</v>
          </cell>
          <cell r="C93">
            <v>39</v>
          </cell>
        </row>
        <row r="94">
          <cell r="B94" t="str">
            <v>California Crab Bowl</v>
          </cell>
          <cell r="C94">
            <v>66</v>
          </cell>
        </row>
        <row r="95">
          <cell r="B95" t="str">
            <v>California Roll</v>
          </cell>
          <cell r="C95">
            <v>50</v>
          </cell>
        </row>
        <row r="96">
          <cell r="B96" t="str">
            <v>California Crab Bowl</v>
          </cell>
          <cell r="C96">
            <v>54</v>
          </cell>
        </row>
        <row r="97">
          <cell r="B97" t="str">
            <v>Cantonese Fried Lollipops Crispy Delight</v>
          </cell>
          <cell r="C97">
            <v>45</v>
          </cell>
        </row>
        <row r="98">
          <cell r="B98" t="str">
            <v>Cantonese Spring Rolls With Sweet Chili</v>
          </cell>
          <cell r="C98">
            <v>41</v>
          </cell>
        </row>
        <row r="99">
          <cell r="B99" t="str">
            <v>Cantonese Sweet Corn Soup Smooth Comfort</v>
          </cell>
          <cell r="C99">
            <v>33</v>
          </cell>
        </row>
        <row r="100">
          <cell r="B100" t="str">
            <v>Caprese &amp; Pesto Toast</v>
          </cell>
          <cell r="C100">
            <v>78</v>
          </cell>
        </row>
        <row r="101">
          <cell r="B101" t="str">
            <v>Caprese &amp; Pesto Toast</v>
          </cell>
          <cell r="C101">
            <v>58</v>
          </cell>
        </row>
        <row r="102">
          <cell r="B102" t="str">
            <v>Caprese and Pesto Toast</v>
          </cell>
          <cell r="C102">
            <v>48</v>
          </cell>
        </row>
        <row r="103">
          <cell r="B103" t="str">
            <v>Chana Masala</v>
          </cell>
          <cell r="C103">
            <v>28</v>
          </cell>
        </row>
        <row r="104">
          <cell r="B104" t="str">
            <v>Cheese Dip</v>
          </cell>
          <cell r="C104">
            <v>8</v>
          </cell>
        </row>
        <row r="105">
          <cell r="B105" t="str">
            <v>Cheese Fries</v>
          </cell>
          <cell r="C105">
            <v>24</v>
          </cell>
        </row>
        <row r="106">
          <cell r="B106" t="str">
            <v>Cheese Quesadilla</v>
          </cell>
          <cell r="C106">
            <v>49</v>
          </cell>
        </row>
        <row r="107">
          <cell r="B107" t="str">
            <v>Cheese and Veg Kimbap</v>
          </cell>
          <cell r="C107">
            <v>51</v>
          </cell>
        </row>
        <row r="108">
          <cell r="B108" t="str">
            <v>Cheese and Veg Kimbap</v>
          </cell>
          <cell r="C108">
            <v>51</v>
          </cell>
        </row>
        <row r="109">
          <cell r="B109" t="str">
            <v>Cheese and Veg Kimbap</v>
          </cell>
          <cell r="C109">
            <v>52</v>
          </cell>
        </row>
        <row r="110">
          <cell r="B110" t="str">
            <v>Cheesy Fries</v>
          </cell>
          <cell r="C110">
            <v>24</v>
          </cell>
        </row>
        <row r="111">
          <cell r="B111" t="str">
            <v>Cheesy Nachos</v>
          </cell>
          <cell r="C111">
            <v>35</v>
          </cell>
        </row>
        <row r="112">
          <cell r="B112" t="str">
            <v>Chicken Avocado Burger</v>
          </cell>
          <cell r="C112">
            <v>58</v>
          </cell>
        </row>
        <row r="113">
          <cell r="B113" t="str">
            <v>Chicken Avocado Sliders</v>
          </cell>
          <cell r="C113">
            <v>62</v>
          </cell>
        </row>
        <row r="114">
          <cell r="B114" t="str">
            <v>Chicken Bibimbap</v>
          </cell>
          <cell r="C114">
            <v>66</v>
          </cell>
        </row>
        <row r="115">
          <cell r="B115" t="str">
            <v>Chicken Buffalo Burger</v>
          </cell>
          <cell r="C115">
            <v>58</v>
          </cell>
        </row>
        <row r="116">
          <cell r="B116" t="str">
            <v>Chicken Buffalo Sliders</v>
          </cell>
          <cell r="C116">
            <v>62</v>
          </cell>
        </row>
        <row r="117">
          <cell r="B117" t="str">
            <v>Chicken Burger Combo Meal for 1</v>
          </cell>
          <cell r="C117">
            <v>71</v>
          </cell>
        </row>
        <row r="118">
          <cell r="B118" t="str">
            <v>Chicken Burger Combo Meal for 2</v>
          </cell>
          <cell r="C118">
            <v>118</v>
          </cell>
        </row>
        <row r="119">
          <cell r="B119" t="str">
            <v>Chicken Burger Combo Meal for 4</v>
          </cell>
          <cell r="C119">
            <v>178</v>
          </cell>
        </row>
        <row r="120">
          <cell r="B120" t="str">
            <v>Chicken Burgers</v>
          </cell>
          <cell r="C120">
            <v>58</v>
          </cell>
        </row>
        <row r="121">
          <cell r="B121" t="str">
            <v>Chicken Caesar Wrap</v>
          </cell>
          <cell r="C121">
            <v>55</v>
          </cell>
        </row>
        <row r="122">
          <cell r="B122" t="str">
            <v>Chicken Combo for Two</v>
          </cell>
          <cell r="C122">
            <v>154</v>
          </cell>
        </row>
        <row r="123">
          <cell r="B123" t="str">
            <v>Chicken Combo for Two</v>
          </cell>
          <cell r="C123">
            <v>154</v>
          </cell>
        </row>
        <row r="124">
          <cell r="B124" t="str">
            <v>Chicken Crunchy Slaw Burger</v>
          </cell>
          <cell r="C124">
            <v>56</v>
          </cell>
        </row>
        <row r="125">
          <cell r="B125" t="str">
            <v>Chicken Crunchy Slaw Sliders</v>
          </cell>
          <cell r="C125">
            <v>59</v>
          </cell>
        </row>
        <row r="126">
          <cell r="B126" t="str">
            <v>Chicken Dynamite</v>
          </cell>
          <cell r="C126">
            <v>44</v>
          </cell>
        </row>
        <row r="127">
          <cell r="B127" t="str">
            <v>Chicken Dynamite Burger</v>
          </cell>
          <cell r="C127">
            <v>56</v>
          </cell>
        </row>
        <row r="128">
          <cell r="B128" t="str">
            <v>Chicken Dynamite Sliders</v>
          </cell>
          <cell r="C128">
            <v>59</v>
          </cell>
        </row>
        <row r="129">
          <cell r="B129" t="str">
            <v>Chicken Enchilada</v>
          </cell>
          <cell r="C129">
            <v>59</v>
          </cell>
        </row>
        <row r="130">
          <cell r="B130" t="str">
            <v>Chicken Gyoza</v>
          </cell>
          <cell r="C130">
            <v>37</v>
          </cell>
        </row>
        <row r="131">
          <cell r="B131" t="str">
            <v>Chicken Honey Mustard Burger</v>
          </cell>
          <cell r="C131">
            <v>56</v>
          </cell>
        </row>
        <row r="132">
          <cell r="B132" t="str">
            <v>Chicken Honey Mustard Sliders</v>
          </cell>
          <cell r="C132">
            <v>59</v>
          </cell>
        </row>
        <row r="133">
          <cell r="B133" t="str">
            <v>Chicken Kalimirch</v>
          </cell>
          <cell r="C133">
            <v>56</v>
          </cell>
        </row>
        <row r="134">
          <cell r="B134" t="str">
            <v>Chicken Katsu Curry</v>
          </cell>
          <cell r="C134">
            <v>49</v>
          </cell>
        </row>
        <row r="135">
          <cell r="B135" t="str">
            <v>Chicken Kimbap</v>
          </cell>
          <cell r="C135">
            <v>54</v>
          </cell>
        </row>
        <row r="136">
          <cell r="B136" t="str">
            <v>Chicken Lababdar</v>
          </cell>
          <cell r="C136">
            <v>41</v>
          </cell>
        </row>
        <row r="137">
          <cell r="B137" t="str">
            <v>Chicken Ramen</v>
          </cell>
          <cell r="C137">
            <v>69</v>
          </cell>
        </row>
        <row r="138">
          <cell r="B138" t="str">
            <v>Chicken Robatayaki</v>
          </cell>
          <cell r="C138">
            <v>58</v>
          </cell>
        </row>
        <row r="139">
          <cell r="B139" t="str">
            <v>Chicken Sausage</v>
          </cell>
          <cell r="C139">
            <v>20</v>
          </cell>
        </row>
        <row r="140">
          <cell r="B140" t="str">
            <v>Chicken Sausage Links</v>
          </cell>
          <cell r="C140">
            <v>25</v>
          </cell>
        </row>
        <row r="141">
          <cell r="B141" t="str">
            <v>Chicken Sausage Patties</v>
          </cell>
          <cell r="C141">
            <v>22</v>
          </cell>
        </row>
        <row r="142">
          <cell r="B142" t="str">
            <v>Chicken Sausages</v>
          </cell>
          <cell r="C142">
            <v>25</v>
          </cell>
        </row>
        <row r="143">
          <cell r="B143" t="str">
            <v>Chicken Seekh Kebab</v>
          </cell>
          <cell r="C143">
            <v>32</v>
          </cell>
        </row>
        <row r="144">
          <cell r="B144" t="str">
            <v>Chicken Sliders</v>
          </cell>
          <cell r="C144">
            <v>52</v>
          </cell>
        </row>
        <row r="145">
          <cell r="B145" t="str">
            <v>Chicken Sliders Meal for 1</v>
          </cell>
          <cell r="C145">
            <v>70</v>
          </cell>
        </row>
        <row r="146">
          <cell r="B146" t="str">
            <v>Chicken Sliders Meal for 2</v>
          </cell>
          <cell r="C146">
            <v>115</v>
          </cell>
        </row>
        <row r="147">
          <cell r="B147" t="str">
            <v>Chicken Sliders Meal for 4</v>
          </cell>
          <cell r="C147">
            <v>172</v>
          </cell>
        </row>
        <row r="148">
          <cell r="B148" t="str">
            <v>Chicken Tacos</v>
          </cell>
          <cell r="C148">
            <v>59</v>
          </cell>
        </row>
        <row r="149">
          <cell r="B149" t="str">
            <v>Chicken Tenders</v>
          </cell>
          <cell r="C149">
            <v>49</v>
          </cell>
        </row>
        <row r="150">
          <cell r="B150" t="str">
            <v>Chicken Teriyaki Rice</v>
          </cell>
          <cell r="C150">
            <v>51</v>
          </cell>
        </row>
        <row r="151">
          <cell r="B151" t="str">
            <v>Chicken Tikka</v>
          </cell>
          <cell r="C151">
            <v>50</v>
          </cell>
        </row>
        <row r="152">
          <cell r="B152" t="str">
            <v>Chicken Tikka Masala</v>
          </cell>
          <cell r="C152">
            <v>42</v>
          </cell>
        </row>
        <row r="153">
          <cell r="B153" t="str">
            <v>Chicken Truffle Burger</v>
          </cell>
          <cell r="C153">
            <v>56</v>
          </cell>
        </row>
        <row r="154">
          <cell r="B154" t="str">
            <v>Chicken Truffle Sliders</v>
          </cell>
          <cell r="C154">
            <v>59</v>
          </cell>
        </row>
        <row r="155">
          <cell r="B155" t="str">
            <v>Chicken Wings</v>
          </cell>
          <cell r="C155">
            <v>64</v>
          </cell>
        </row>
        <row r="156">
          <cell r="B156" t="str">
            <v>Chicken Wraps</v>
          </cell>
          <cell r="C156">
            <v>62</v>
          </cell>
        </row>
        <row r="157">
          <cell r="B157" t="str">
            <v>Chicken Yakisoba</v>
          </cell>
          <cell r="C157">
            <v>57</v>
          </cell>
        </row>
        <row r="158">
          <cell r="B158" t="str">
            <v>Chicken Bibimbap</v>
          </cell>
          <cell r="C158">
            <v>66</v>
          </cell>
        </row>
        <row r="159">
          <cell r="B159" t="str">
            <v>Chicken Caesar Wrap</v>
          </cell>
          <cell r="C159">
            <v>41</v>
          </cell>
        </row>
        <row r="160">
          <cell r="B160" t="str">
            <v>Chicken Combo for Two</v>
          </cell>
          <cell r="C160">
            <v>152</v>
          </cell>
        </row>
        <row r="161">
          <cell r="B161" t="str">
            <v>Chicken Dynamite</v>
          </cell>
          <cell r="C161">
            <v>44</v>
          </cell>
        </row>
        <row r="162">
          <cell r="B162" t="str">
            <v>Chicken Kimbap</v>
          </cell>
          <cell r="C162">
            <v>56</v>
          </cell>
        </row>
        <row r="163">
          <cell r="B163" t="str">
            <v>Chicken Ramen</v>
          </cell>
          <cell r="C163">
            <v>68</v>
          </cell>
        </row>
        <row r="164">
          <cell r="B164" t="str">
            <v>Chili Chicken Burger</v>
          </cell>
          <cell r="C164">
            <v>57</v>
          </cell>
        </row>
        <row r="165">
          <cell r="B165" t="str">
            <v>Chili Chicken Sliders</v>
          </cell>
          <cell r="C165">
            <v>62</v>
          </cell>
        </row>
        <row r="166">
          <cell r="B166" t="str">
            <v>Chili Garlic Shrimp Deopbap</v>
          </cell>
          <cell r="C166">
            <v>71</v>
          </cell>
        </row>
        <row r="167">
          <cell r="B167" t="str">
            <v>Chili Garlic Shrimp Deopbap</v>
          </cell>
          <cell r="C167">
            <v>68</v>
          </cell>
        </row>
        <row r="168">
          <cell r="B168" t="str">
            <v>Chili Hoisin Tenders</v>
          </cell>
          <cell r="C168">
            <v>52</v>
          </cell>
        </row>
        <row r="169">
          <cell r="B169" t="str">
            <v>Chili Hoisin Wings</v>
          </cell>
          <cell r="C169">
            <v>62</v>
          </cell>
        </row>
        <row r="170">
          <cell r="B170" t="str">
            <v>Chilli Garlic 65</v>
          </cell>
          <cell r="C170">
            <v>45</v>
          </cell>
        </row>
        <row r="171">
          <cell r="B171" t="str">
            <v>Chilli Garlic Stir Fry</v>
          </cell>
          <cell r="C171">
            <v>43</v>
          </cell>
        </row>
        <row r="172">
          <cell r="B172" t="str">
            <v>Chilli Veggies - Sichuan Dry Fry</v>
          </cell>
          <cell r="C172">
            <v>41</v>
          </cell>
        </row>
        <row r="173">
          <cell r="B173" t="str">
            <v>Chimichurri Beef Tacos</v>
          </cell>
          <cell r="C173">
            <v>76</v>
          </cell>
        </row>
        <row r="174">
          <cell r="B174" t="str">
            <v>Chimichurri Chicken Tacos</v>
          </cell>
          <cell r="C174">
            <v>61</v>
          </cell>
        </row>
        <row r="175">
          <cell r="B175" t="str">
            <v>Chimichurri Sauce</v>
          </cell>
          <cell r="C175">
            <v>8</v>
          </cell>
        </row>
        <row r="176">
          <cell r="B176" t="str">
            <v>Chimichurri Shrimp Tacos</v>
          </cell>
          <cell r="C176">
            <v>66</v>
          </cell>
        </row>
        <row r="177">
          <cell r="B177" t="str">
            <v>Chimichurri Veg Tacos</v>
          </cell>
          <cell r="C177">
            <v>44</v>
          </cell>
        </row>
        <row r="178">
          <cell r="B178" t="str">
            <v>Chipotle Aioli</v>
          </cell>
          <cell r="C178">
            <v>8</v>
          </cell>
        </row>
        <row r="179">
          <cell r="B179" t="str">
            <v>Chipotle Mayo</v>
          </cell>
          <cell r="C179">
            <v>8</v>
          </cell>
        </row>
        <row r="180">
          <cell r="B180" t="str">
            <v>Chipotle Sauce</v>
          </cell>
          <cell r="C180">
            <v>8</v>
          </cell>
        </row>
        <row r="181">
          <cell r="B181" t="str">
            <v>Chipotle Sauce</v>
          </cell>
          <cell r="C181">
            <v>6</v>
          </cell>
        </row>
        <row r="182">
          <cell r="B182" t="str">
            <v>Chipotle Sour Cream</v>
          </cell>
          <cell r="C182">
            <v>8</v>
          </cell>
        </row>
        <row r="183">
          <cell r="B183" t="str">
            <v>Chuka Wakame</v>
          </cell>
          <cell r="C183">
            <v>32</v>
          </cell>
        </row>
        <row r="184">
          <cell r="B184" t="str">
            <v>Chuka Wakame</v>
          </cell>
          <cell r="C184">
            <v>32</v>
          </cell>
        </row>
        <row r="185">
          <cell r="B185" t="str">
            <v>Classic Acai Bowl</v>
          </cell>
          <cell r="C185">
            <v>72</v>
          </cell>
        </row>
        <row r="186">
          <cell r="B186" t="str">
            <v>Classic Acai Bowl</v>
          </cell>
          <cell r="C186">
            <v>62</v>
          </cell>
        </row>
        <row r="187">
          <cell r="B187" t="str">
            <v>Classic Banana Split</v>
          </cell>
          <cell r="C187">
            <v>50</v>
          </cell>
        </row>
        <row r="188">
          <cell r="B188" t="str">
            <v>Classic Beef Burger</v>
          </cell>
          <cell r="C188">
            <v>69</v>
          </cell>
        </row>
        <row r="189">
          <cell r="B189" t="str">
            <v>Classic Beef Sliders</v>
          </cell>
          <cell r="C189">
            <v>69</v>
          </cell>
        </row>
        <row r="190">
          <cell r="B190" t="str">
            <v>Classic Berry Blast Oats</v>
          </cell>
          <cell r="C190">
            <v>45</v>
          </cell>
        </row>
        <row r="191">
          <cell r="B191" t="str">
            <v>Classic Chicken Wrap</v>
          </cell>
          <cell r="C191">
            <v>54</v>
          </cell>
        </row>
        <row r="192">
          <cell r="B192" t="str">
            <v>Classic Chicken Wrap</v>
          </cell>
          <cell r="C192">
            <v>38</v>
          </cell>
        </row>
        <row r="193">
          <cell r="B193" t="str">
            <v>Classic Falafel Slider</v>
          </cell>
          <cell r="C193">
            <v>46</v>
          </cell>
        </row>
        <row r="194">
          <cell r="B194" t="str">
            <v>Classic French Toast</v>
          </cell>
          <cell r="C194">
            <v>52</v>
          </cell>
        </row>
        <row r="195">
          <cell r="B195" t="str">
            <v>Classic Fruit Cup</v>
          </cell>
          <cell r="C195">
            <v>18</v>
          </cell>
        </row>
        <row r="196">
          <cell r="B196" t="str">
            <v>Classic Grilled Chicken Bowl</v>
          </cell>
          <cell r="C196">
            <v>58</v>
          </cell>
        </row>
        <row r="197">
          <cell r="B197" t="str">
            <v>Classic Grilled Halloumi Slider</v>
          </cell>
          <cell r="C197">
            <v>58</v>
          </cell>
        </row>
        <row r="198">
          <cell r="B198" t="str">
            <v>Classic Guacamole</v>
          </cell>
          <cell r="C198">
            <v>15</v>
          </cell>
        </row>
        <row r="199">
          <cell r="B199" t="str">
            <v>Classic Levantine Shakshuka</v>
          </cell>
          <cell r="C199">
            <v>65</v>
          </cell>
        </row>
        <row r="200">
          <cell r="B200" t="str">
            <v>Classic Middle Eastern Breakfast Bowl</v>
          </cell>
          <cell r="C200">
            <v>58</v>
          </cell>
        </row>
        <row r="201">
          <cell r="B201" t="str">
            <v>Classic Ranchero Burrito</v>
          </cell>
          <cell r="C201">
            <v>54</v>
          </cell>
        </row>
        <row r="202">
          <cell r="B202" t="str">
            <v>Classic Smash Avo</v>
          </cell>
          <cell r="C202">
            <v>68</v>
          </cell>
        </row>
        <row r="203">
          <cell r="B203" t="str">
            <v>Classic Smashed Avo</v>
          </cell>
          <cell r="C203">
            <v>62</v>
          </cell>
        </row>
        <row r="204">
          <cell r="B204" t="str">
            <v>Classic Smashed Avo Toast</v>
          </cell>
          <cell r="C204">
            <v>52</v>
          </cell>
        </row>
        <row r="205">
          <cell r="B205" t="str">
            <v>Classic Smashed Avocado</v>
          </cell>
          <cell r="C205">
            <v>62</v>
          </cell>
        </row>
        <row r="206">
          <cell r="B206" t="str">
            <v>Classic Spanish Potato Omelet</v>
          </cell>
          <cell r="C206">
            <v>52</v>
          </cell>
        </row>
        <row r="207">
          <cell r="B207" t="str">
            <v>Classic Sriracha Mayo</v>
          </cell>
          <cell r="C207">
            <v>8</v>
          </cell>
        </row>
        <row r="208">
          <cell r="B208" t="str">
            <v>Classic Chicken Wrap</v>
          </cell>
          <cell r="C208">
            <v>38</v>
          </cell>
        </row>
        <row r="209">
          <cell r="B209" t="str">
            <v>Coca Cola</v>
          </cell>
          <cell r="C209">
            <v>9</v>
          </cell>
        </row>
        <row r="210">
          <cell r="B210" t="str">
            <v>Coca Cola 330 Ml</v>
          </cell>
          <cell r="C210">
            <v>9</v>
          </cell>
        </row>
        <row r="211">
          <cell r="B211" t="str">
            <v>Coca Cola 330ml</v>
          </cell>
          <cell r="C211">
            <v>9</v>
          </cell>
        </row>
        <row r="212">
          <cell r="B212" t="str">
            <v>Coca Cola Can</v>
          </cell>
          <cell r="C212">
            <v>20</v>
          </cell>
        </row>
        <row r="213">
          <cell r="B213" t="str">
            <v>Coca Cola Zero</v>
          </cell>
          <cell r="C213">
            <v>10</v>
          </cell>
        </row>
        <row r="214">
          <cell r="B214" t="str">
            <v>Coca Cola Zero Can</v>
          </cell>
          <cell r="C214">
            <v>20</v>
          </cell>
        </row>
        <row r="215">
          <cell r="B215" t="str">
            <v>Coca Cola</v>
          </cell>
          <cell r="C215">
            <v>9</v>
          </cell>
        </row>
        <row r="216">
          <cell r="B216" t="str">
            <v>Coca Cola Zero</v>
          </cell>
          <cell r="C216">
            <v>10</v>
          </cell>
        </row>
        <row r="217">
          <cell r="B217" t="str">
            <v>Coke Zero 300 ML</v>
          </cell>
          <cell r="C217">
            <v>9</v>
          </cell>
        </row>
        <row r="218">
          <cell r="B218" t="str">
            <v>Coke Zero 330ml</v>
          </cell>
          <cell r="C218">
            <v>9</v>
          </cell>
        </row>
        <row r="219">
          <cell r="B219" t="str">
            <v>Crab Roll</v>
          </cell>
          <cell r="C219">
            <v>48</v>
          </cell>
        </row>
        <row r="220">
          <cell r="B220" t="str">
            <v>Crab Salad</v>
          </cell>
          <cell r="C220">
            <v>44</v>
          </cell>
        </row>
        <row r="221">
          <cell r="B221" t="str">
            <v>Crab Salad</v>
          </cell>
          <cell r="C221">
            <v>44</v>
          </cell>
        </row>
        <row r="222">
          <cell r="B222" t="str">
            <v>Creamy Mushroom Soup Sichuan Pepper Twist</v>
          </cell>
          <cell r="C222">
            <v>33</v>
          </cell>
        </row>
        <row r="223">
          <cell r="B223" t="str">
            <v>Creamy Tom Yum</v>
          </cell>
          <cell r="C223">
            <v>41</v>
          </cell>
        </row>
        <row r="224">
          <cell r="B224" t="str">
            <v>Creamy Tom Yum</v>
          </cell>
          <cell r="C224">
            <v>40</v>
          </cell>
        </row>
        <row r="225">
          <cell r="B225" t="str">
            <v>Creamy Tom Yum</v>
          </cell>
          <cell r="C225">
            <v>39</v>
          </cell>
        </row>
        <row r="226">
          <cell r="B226" t="str">
            <v>Crispy 65 Indo Chinese Classic</v>
          </cell>
          <cell r="C226">
            <v>41</v>
          </cell>
        </row>
        <row r="227">
          <cell r="B227" t="str">
            <v>Crispy Beef Bacon</v>
          </cell>
          <cell r="C227">
            <v>22</v>
          </cell>
        </row>
        <row r="228">
          <cell r="B228" t="str">
            <v>Crispy Chicken Burger</v>
          </cell>
          <cell r="C228">
            <v>56</v>
          </cell>
        </row>
        <row r="229">
          <cell r="B229" t="str">
            <v>Crispy Chicken Burrito</v>
          </cell>
          <cell r="C229">
            <v>58</v>
          </cell>
        </row>
        <row r="230">
          <cell r="B230" t="str">
            <v>Crispy Chicken Chimichurri Burrito</v>
          </cell>
          <cell r="C230">
            <v>61</v>
          </cell>
        </row>
        <row r="231">
          <cell r="B231" t="str">
            <v>Crispy Chicken Fajita Wrap</v>
          </cell>
          <cell r="C231">
            <v>59</v>
          </cell>
        </row>
        <row r="232">
          <cell r="B232" t="str">
            <v>Crispy Chicken Fried Roll</v>
          </cell>
          <cell r="C232">
            <v>54</v>
          </cell>
        </row>
        <row r="233">
          <cell r="B233" t="str">
            <v>Crispy Chicken Morning Bao</v>
          </cell>
          <cell r="C233">
            <v>58</v>
          </cell>
        </row>
        <row r="234">
          <cell r="B234" t="str">
            <v>Crispy Chicken Sliders</v>
          </cell>
          <cell r="C234">
            <v>59</v>
          </cell>
        </row>
        <row r="235">
          <cell r="B235" t="str">
            <v>Crispy Hashbrowns (2 Pcs)</v>
          </cell>
          <cell r="C235">
            <v>18</v>
          </cell>
        </row>
        <row r="236">
          <cell r="B236" t="str">
            <v>Crispy Potatoes with Honey and Chili Golden Sauce</v>
          </cell>
          <cell r="C236">
            <v>41</v>
          </cell>
        </row>
        <row r="237">
          <cell r="B237" t="str">
            <v>Crispy Salmon Fried Roll</v>
          </cell>
          <cell r="C237">
            <v>51</v>
          </cell>
        </row>
        <row r="238">
          <cell r="B238" t="str">
            <v>Crispy Schezwan in Hot Garlic</v>
          </cell>
          <cell r="C238">
            <v>44</v>
          </cell>
        </row>
        <row r="239">
          <cell r="B239" t="str">
            <v>Crispy Shanghai Chicken Lollipops</v>
          </cell>
          <cell r="C239">
            <v>46</v>
          </cell>
        </row>
        <row r="240">
          <cell r="B240" t="str">
            <v>Crispy Shrimp Fried Roll</v>
          </cell>
          <cell r="C240">
            <v>58</v>
          </cell>
        </row>
        <row r="241">
          <cell r="B241" t="str">
            <v>Crispy Spring Rolls a Cantonese Twist</v>
          </cell>
          <cell r="C241">
            <v>42</v>
          </cell>
        </row>
        <row r="242">
          <cell r="B242" t="str">
            <v>Crispy Szechuan Fish Fingers Golden Pieces</v>
          </cell>
          <cell r="C242">
            <v>56</v>
          </cell>
        </row>
        <row r="243">
          <cell r="B243" t="str">
            <v>Crispy Tofu Deopbap</v>
          </cell>
          <cell r="C243">
            <v>66</v>
          </cell>
        </row>
        <row r="244">
          <cell r="B244" t="str">
            <v>Crispy Tuna Fried Roll</v>
          </cell>
          <cell r="C244">
            <v>58</v>
          </cell>
        </row>
        <row r="245">
          <cell r="B245" t="str">
            <v>Crispy Veg Manchurian With Ginger Garlic</v>
          </cell>
          <cell r="C245">
            <v>41</v>
          </cell>
        </row>
        <row r="246">
          <cell r="B246" t="str">
            <v>Crispy Vegetarian Fried Roll (V)</v>
          </cell>
          <cell r="C246">
            <v>44</v>
          </cell>
        </row>
        <row r="247">
          <cell r="B247" t="str">
            <v>Crispy Wok-Fried Veg Spring Rolls</v>
          </cell>
          <cell r="C247">
            <v>38</v>
          </cell>
        </row>
        <row r="248">
          <cell r="B248" t="str">
            <v>Crispy Tofu Deopbap</v>
          </cell>
          <cell r="C248">
            <v>68</v>
          </cell>
        </row>
        <row r="249">
          <cell r="B249" t="str">
            <v>Crunchy BBQ Burger</v>
          </cell>
          <cell r="C249">
            <v>73</v>
          </cell>
        </row>
        <row r="250">
          <cell r="B250" t="str">
            <v>Crunchy BBQ Sliders</v>
          </cell>
          <cell r="C250">
            <v>74</v>
          </cell>
        </row>
        <row r="251">
          <cell r="B251" t="str">
            <v>Crunchy Manchow Street Bowl</v>
          </cell>
          <cell r="C251">
            <v>44</v>
          </cell>
        </row>
        <row r="252">
          <cell r="B252" t="str">
            <v>Crunchy Street-Style Spring Rolls</v>
          </cell>
          <cell r="C252">
            <v>40</v>
          </cell>
        </row>
        <row r="253">
          <cell r="B253" t="str">
            <v>Cucumber Hosomaki</v>
          </cell>
          <cell r="C253">
            <v>30</v>
          </cell>
        </row>
        <row r="254">
          <cell r="B254" t="str">
            <v>Curly Fries</v>
          </cell>
          <cell r="C254">
            <v>24</v>
          </cell>
        </row>
        <row r="255">
          <cell r="B255" t="str">
            <v>Curry Rice Bowl - Chicken</v>
          </cell>
          <cell r="C255">
            <v>68</v>
          </cell>
        </row>
        <row r="256">
          <cell r="B256" t="str">
            <v>Curry Rice Bowl - Veg</v>
          </cell>
          <cell r="C256">
            <v>65</v>
          </cell>
        </row>
        <row r="257">
          <cell r="B257" t="str">
            <v>Dak Deopbap</v>
          </cell>
          <cell r="C257">
            <v>67</v>
          </cell>
        </row>
        <row r="258">
          <cell r="B258" t="str">
            <v>Dak Deopbap</v>
          </cell>
          <cell r="C258">
            <v>67</v>
          </cell>
        </row>
        <row r="259">
          <cell r="B259" t="str">
            <v>Dal &amp; Roti Special</v>
          </cell>
          <cell r="C259">
            <v>59</v>
          </cell>
        </row>
        <row r="260">
          <cell r="B260" t="str">
            <v>Dal Bukhara</v>
          </cell>
          <cell r="C260">
            <v>49</v>
          </cell>
        </row>
        <row r="261">
          <cell r="B261" t="str">
            <v>Dal Makhani</v>
          </cell>
          <cell r="C261">
            <v>46</v>
          </cell>
        </row>
        <row r="262">
          <cell r="B262" t="str">
            <v>Dal Palak</v>
          </cell>
          <cell r="C262">
            <v>34</v>
          </cell>
        </row>
        <row r="263">
          <cell r="B263" t="str">
            <v>Dal Tadka</v>
          </cell>
          <cell r="C263">
            <v>36</v>
          </cell>
        </row>
        <row r="264">
          <cell r="B264" t="str">
            <v>Danmuji (Pickled Radish)</v>
          </cell>
          <cell r="C264">
            <v>16</v>
          </cell>
        </row>
        <row r="265">
          <cell r="B265" t="str">
            <v>Date &amp; Pistachio Acai Bowl</v>
          </cell>
          <cell r="C265">
            <v>75</v>
          </cell>
        </row>
        <row r="266">
          <cell r="B266" t="str">
            <v>Date &amp; Pistachio Acai Bowl</v>
          </cell>
          <cell r="C266">
            <v>62</v>
          </cell>
        </row>
        <row r="267">
          <cell r="B267" t="str">
            <v>Date Night Box</v>
          </cell>
          <cell r="C267">
            <v>197</v>
          </cell>
        </row>
        <row r="268">
          <cell r="B268" t="str">
            <v>Dates &amp; Pistachio A¯Â¿Â½a¯Â¿Â½ Bowl</v>
          </cell>
          <cell r="C268">
            <v>65</v>
          </cell>
        </row>
        <row r="269">
          <cell r="B269" t="str">
            <v>Deep Fried Chicken Mandu</v>
          </cell>
          <cell r="C269">
            <v>54</v>
          </cell>
        </row>
        <row r="270">
          <cell r="B270" t="str">
            <v>Deep Fried Chicken Mandu</v>
          </cell>
          <cell r="C270">
            <v>51</v>
          </cell>
        </row>
        <row r="271">
          <cell r="B271" t="str">
            <v>Donkkaseu</v>
          </cell>
          <cell r="C271">
            <v>86</v>
          </cell>
        </row>
        <row r="272">
          <cell r="B272" t="str">
            <v>Double Beef Burger</v>
          </cell>
          <cell r="C272">
            <v>85</v>
          </cell>
        </row>
        <row r="273">
          <cell r="B273" t="str">
            <v>Double Beef Sliders</v>
          </cell>
          <cell r="C273">
            <v>85</v>
          </cell>
        </row>
        <row r="274">
          <cell r="B274" t="str">
            <v>Dragon Roll</v>
          </cell>
          <cell r="C274">
            <v>49</v>
          </cell>
        </row>
        <row r="275">
          <cell r="B275" t="str">
            <v>Dynamite Crunch Poppers</v>
          </cell>
          <cell r="C275">
            <v>43</v>
          </cell>
        </row>
        <row r="276">
          <cell r="B276" t="str">
            <v>Dynamite Fries</v>
          </cell>
          <cell r="C276">
            <v>28</v>
          </cell>
        </row>
        <row r="277">
          <cell r="B277" t="str">
            <v>Dynamite Roll</v>
          </cell>
          <cell r="C277">
            <v>54</v>
          </cell>
        </row>
        <row r="278">
          <cell r="B278" t="str">
            <v>Dynamite Sauce Dip</v>
          </cell>
          <cell r="C278">
            <v>8</v>
          </cell>
        </row>
        <row r="279">
          <cell r="B279" t="str">
            <v>Dynamite Shrimp</v>
          </cell>
          <cell r="C279">
            <v>48</v>
          </cell>
        </row>
        <row r="280">
          <cell r="B280" t="str">
            <v>Dynamite Shrimps</v>
          </cell>
          <cell r="C280">
            <v>48</v>
          </cell>
        </row>
        <row r="281">
          <cell r="B281" t="str">
            <v>Dynamite Sichuan Explosion</v>
          </cell>
          <cell r="C281">
            <v>46</v>
          </cell>
        </row>
        <row r="282">
          <cell r="B282" t="str">
            <v>Dynamite Tenders</v>
          </cell>
          <cell r="C282">
            <v>51</v>
          </cell>
        </row>
        <row r="283">
          <cell r="B283" t="str">
            <v>Dynamite Wings</v>
          </cell>
          <cell r="C283">
            <v>61</v>
          </cell>
        </row>
        <row r="284">
          <cell r="B284" t="str">
            <v>Ebi Nigiri</v>
          </cell>
          <cell r="C284">
            <v>36</v>
          </cell>
        </row>
        <row r="285">
          <cell r="B285" t="str">
            <v>Edamame</v>
          </cell>
          <cell r="C285">
            <v>26</v>
          </cell>
        </row>
        <row r="286">
          <cell r="B286" t="str">
            <v>Egg Bhurji</v>
          </cell>
          <cell r="C286">
            <v>28</v>
          </cell>
        </row>
        <row r="287">
          <cell r="B287" t="str">
            <v>Egg Masala Curry</v>
          </cell>
          <cell r="C287">
            <v>28</v>
          </cell>
        </row>
        <row r="288">
          <cell r="B288" t="str">
            <v>Egg White (Fit)</v>
          </cell>
          <cell r="C288">
            <v>68</v>
          </cell>
        </row>
        <row r="289">
          <cell r="B289" t="str">
            <v>Egg Whites (Fit)</v>
          </cell>
          <cell r="C289">
            <v>58</v>
          </cell>
        </row>
        <row r="290">
          <cell r="B290" t="str">
            <v>Fairfax Egg Bun</v>
          </cell>
          <cell r="C290">
            <v>48</v>
          </cell>
        </row>
        <row r="291">
          <cell r="B291" t="str">
            <v>Falafel Slider</v>
          </cell>
          <cell r="C291">
            <v>46</v>
          </cell>
        </row>
        <row r="292">
          <cell r="B292" t="str">
            <v>Falafel Sliders</v>
          </cell>
          <cell r="C292">
            <v>42</v>
          </cell>
        </row>
        <row r="293">
          <cell r="B293" t="str">
            <v>Family Feast (Non Veg)</v>
          </cell>
          <cell r="C293">
            <v>159</v>
          </cell>
        </row>
        <row r="294">
          <cell r="B294" t="str">
            <v>Family Feast (Veg)</v>
          </cell>
          <cell r="C294">
            <v>137</v>
          </cell>
        </row>
        <row r="295">
          <cell r="B295" t="str">
            <v>Family Feast Box</v>
          </cell>
          <cell r="C295">
            <v>128</v>
          </cell>
        </row>
        <row r="296">
          <cell r="B296" t="str">
            <v>Family Deal</v>
          </cell>
          <cell r="C296">
            <v>195</v>
          </cell>
        </row>
        <row r="297">
          <cell r="B297" t="str">
            <v>Fanta</v>
          </cell>
          <cell r="C297">
            <v>9</v>
          </cell>
        </row>
        <row r="298">
          <cell r="B298" t="str">
            <v>Fanta 330 ml</v>
          </cell>
          <cell r="C298">
            <v>9</v>
          </cell>
        </row>
        <row r="299">
          <cell r="B299" t="str">
            <v>Fanta Can</v>
          </cell>
          <cell r="C299">
            <v>20</v>
          </cell>
        </row>
        <row r="300">
          <cell r="B300" t="str">
            <v>Fiery Manchurian Street Bites</v>
          </cell>
          <cell r="C300">
            <v>42</v>
          </cell>
        </row>
        <row r="301">
          <cell r="B301" t="str">
            <v>Fiery Schezwan in Indian Chinese Style</v>
          </cell>
          <cell r="C301">
            <v>41</v>
          </cell>
        </row>
        <row r="302">
          <cell r="B302" t="str">
            <v>Fish Tikka</v>
          </cell>
          <cell r="C302">
            <v>32</v>
          </cell>
        </row>
        <row r="303">
          <cell r="B303" t="str">
            <v>Fish Tikka Curry</v>
          </cell>
          <cell r="C303">
            <v>33</v>
          </cell>
        </row>
        <row r="304">
          <cell r="B304" t="str">
            <v>French Fries</v>
          </cell>
          <cell r="C304">
            <v>21</v>
          </cell>
        </row>
        <row r="305">
          <cell r="B305" t="str">
            <v>Fresh Fruit Cup</v>
          </cell>
          <cell r="C305">
            <v>30</v>
          </cell>
        </row>
        <row r="306">
          <cell r="B306" t="str">
            <v>Fresh Guacamole</v>
          </cell>
          <cell r="C306">
            <v>15</v>
          </cell>
        </row>
        <row r="307">
          <cell r="B307" t="str">
            <v>Fresh Sliced Avocado</v>
          </cell>
          <cell r="C307">
            <v>28</v>
          </cell>
        </row>
        <row r="308">
          <cell r="B308" t="str">
            <v>Fries</v>
          </cell>
          <cell r="C308">
            <v>21</v>
          </cell>
        </row>
        <row r="309">
          <cell r="B309" t="str">
            <v>Fruit Cup</v>
          </cell>
          <cell r="C309">
            <v>25</v>
          </cell>
        </row>
        <row r="310">
          <cell r="B310" t="str">
            <v>Full American Plate</v>
          </cell>
          <cell r="C310">
            <v>92</v>
          </cell>
        </row>
        <row r="311">
          <cell r="B311" t="str">
            <v>Garlic Aioli Dip</v>
          </cell>
          <cell r="C311">
            <v>8</v>
          </cell>
        </row>
        <row r="312">
          <cell r="B312" t="str">
            <v>Garlic Blast</v>
          </cell>
          <cell r="C312">
            <v>43</v>
          </cell>
        </row>
        <row r="313">
          <cell r="B313" t="str">
            <v>Garlic Butter Shrimp Ramen</v>
          </cell>
          <cell r="C313">
            <v>76</v>
          </cell>
        </row>
        <row r="314">
          <cell r="B314" t="str">
            <v>Garlic Chili Sichuan Zing</v>
          </cell>
          <cell r="C314">
            <v>46</v>
          </cell>
        </row>
        <row r="315">
          <cell r="B315" t="str">
            <v>Garlic Chili Wok Tossed</v>
          </cell>
          <cell r="C315">
            <v>43</v>
          </cell>
        </row>
        <row r="316">
          <cell r="B316" t="str">
            <v>Garlic Naan</v>
          </cell>
          <cell r="C316">
            <v>17</v>
          </cell>
        </row>
        <row r="317">
          <cell r="B317" t="str">
            <v>Garlic Parmesan Tenders</v>
          </cell>
          <cell r="C317">
            <v>52</v>
          </cell>
        </row>
        <row r="318">
          <cell r="B318" t="str">
            <v>Garlic Parmesan Wings</v>
          </cell>
          <cell r="C318">
            <v>62</v>
          </cell>
        </row>
        <row r="319">
          <cell r="B319" t="str">
            <v>Ghee Rice</v>
          </cell>
          <cell r="C319">
            <v>24</v>
          </cell>
        </row>
        <row r="320">
          <cell r="B320" t="str">
            <v>Gochujang Shrimp Deopbap</v>
          </cell>
          <cell r="C320">
            <v>71</v>
          </cell>
        </row>
        <row r="321">
          <cell r="B321" t="str">
            <v>Gochujang Shrimp Deopbap</v>
          </cell>
          <cell r="C321">
            <v>70</v>
          </cell>
        </row>
        <row r="322">
          <cell r="B322" t="str">
            <v>Gochujang Shrimp Deopbap</v>
          </cell>
          <cell r="C322">
            <v>69</v>
          </cell>
        </row>
        <row r="323">
          <cell r="B323" t="str">
            <v>Golden Fried 65</v>
          </cell>
          <cell r="C323">
            <v>41</v>
          </cell>
        </row>
        <row r="324">
          <cell r="B324" t="str">
            <v>Golden Fried Chicken 65 With Schezwan</v>
          </cell>
          <cell r="C324">
            <v>48</v>
          </cell>
        </row>
        <row r="325">
          <cell r="B325" t="str">
            <v>Golden Stir Fry With Veggies</v>
          </cell>
          <cell r="C325">
            <v>41</v>
          </cell>
        </row>
        <row r="326">
          <cell r="B326" t="str">
            <v>Golden Sweet Corn Street Soup</v>
          </cell>
          <cell r="C326">
            <v>37</v>
          </cell>
        </row>
        <row r="327">
          <cell r="B327" t="str">
            <v>Golden Veg Mongolian With Spring Onions</v>
          </cell>
          <cell r="C327">
            <v>41</v>
          </cell>
        </row>
        <row r="328">
          <cell r="B328" t="str">
            <v>Golden Veg Spring Rolls With Hot Garlic</v>
          </cell>
          <cell r="C328">
            <v>41</v>
          </cell>
        </row>
        <row r="329">
          <cell r="B329" t="str">
            <v>Golden Wok Fried Fish Fingers</v>
          </cell>
          <cell r="C329">
            <v>54</v>
          </cell>
        </row>
        <row r="330">
          <cell r="B330" t="str">
            <v>Golden Wok Tossed Honey Chilli Potatoes</v>
          </cell>
          <cell r="C330">
            <v>41</v>
          </cell>
        </row>
        <row r="331">
          <cell r="B331" t="str">
            <v>Golden Wok-Fried Crispy</v>
          </cell>
          <cell r="C331">
            <v>43</v>
          </cell>
        </row>
        <row r="332">
          <cell r="B332" t="str">
            <v>Green Curry Udon</v>
          </cell>
          <cell r="C332">
            <v>61</v>
          </cell>
        </row>
        <row r="333">
          <cell r="B333" t="str">
            <v>Green Salad</v>
          </cell>
          <cell r="C333">
            <v>19</v>
          </cell>
        </row>
        <row r="334">
          <cell r="B334" t="str">
            <v>Grilled BBQ Chicken Tacos</v>
          </cell>
          <cell r="C334">
            <v>61</v>
          </cell>
        </row>
        <row r="335">
          <cell r="B335" t="str">
            <v>Grilled Chicken Burrito</v>
          </cell>
          <cell r="C335">
            <v>58</v>
          </cell>
        </row>
        <row r="336">
          <cell r="B336" t="str">
            <v>Grilled Chicken Burrito Bowl</v>
          </cell>
          <cell r="C336">
            <v>54</v>
          </cell>
        </row>
        <row r="337">
          <cell r="B337" t="str">
            <v>Grilled Chicken Chimichurri Burrito</v>
          </cell>
          <cell r="C337">
            <v>61</v>
          </cell>
        </row>
        <row r="338">
          <cell r="B338" t="str">
            <v>Grilled Chicken Fajita Meal</v>
          </cell>
          <cell r="C338">
            <v>69</v>
          </cell>
        </row>
        <row r="339">
          <cell r="B339" t="str">
            <v>Grilled Chicken Fajita Wrap</v>
          </cell>
          <cell r="C339">
            <v>59</v>
          </cell>
        </row>
        <row r="340">
          <cell r="B340" t="str">
            <v>Grilled Chicken Power Bowl</v>
          </cell>
          <cell r="C340">
            <v>72</v>
          </cell>
        </row>
        <row r="341">
          <cell r="B341" t="str">
            <v>Grilled Chicken Protein Bowl</v>
          </cell>
          <cell r="C341">
            <v>62</v>
          </cell>
        </row>
        <row r="342">
          <cell r="B342" t="str">
            <v>Grilled Chicken Ranchero Burrito</v>
          </cell>
          <cell r="C342">
            <v>59</v>
          </cell>
        </row>
        <row r="343">
          <cell r="B343" t="str">
            <v>Grilled Chicken Taco Salad</v>
          </cell>
          <cell r="C343">
            <v>58</v>
          </cell>
        </row>
        <row r="344">
          <cell r="B344" t="str">
            <v>Grilled Chicken Teppanyaki</v>
          </cell>
          <cell r="C344">
            <v>59</v>
          </cell>
        </row>
        <row r="345">
          <cell r="B345" t="str">
            <v>Grilled Chicken and Cheese Quesadilla</v>
          </cell>
          <cell r="C345">
            <v>63</v>
          </cell>
        </row>
        <row r="346">
          <cell r="B346" t="str">
            <v>Grilled Chicken Teppanyaki</v>
          </cell>
          <cell r="C346">
            <v>59</v>
          </cell>
        </row>
        <row r="347">
          <cell r="B347" t="str">
            <v>Grilled Classic Chicken Burger</v>
          </cell>
          <cell r="C347">
            <v>54</v>
          </cell>
        </row>
        <row r="348">
          <cell r="B348" t="str">
            <v>Grilled Classic Chicken Sliders</v>
          </cell>
          <cell r="C348">
            <v>58</v>
          </cell>
        </row>
        <row r="349">
          <cell r="B349" t="str">
            <v>Grilled Fish Fajita Meal</v>
          </cell>
          <cell r="C349">
            <v>66</v>
          </cell>
        </row>
        <row r="350">
          <cell r="B350" t="str">
            <v>Grilled Halloumi</v>
          </cell>
          <cell r="C350">
            <v>24</v>
          </cell>
        </row>
        <row r="351">
          <cell r="B351" t="str">
            <v>Grilled Halloumi Bagel</v>
          </cell>
          <cell r="C351">
            <v>62</v>
          </cell>
        </row>
        <row r="352">
          <cell r="B352" t="str">
            <v>Grilled Halloumi Slices</v>
          </cell>
          <cell r="C352">
            <v>30</v>
          </cell>
        </row>
        <row r="353">
          <cell r="B353" t="str">
            <v>Grilled Halloumi Slider</v>
          </cell>
          <cell r="C353">
            <v>58</v>
          </cell>
        </row>
        <row r="354">
          <cell r="B354" t="str">
            <v>Grilled Halloumi Sliders</v>
          </cell>
          <cell r="C354">
            <v>52</v>
          </cell>
        </row>
        <row r="355">
          <cell r="B355" t="str">
            <v>Grilled Prawns Tandoori</v>
          </cell>
          <cell r="C355">
            <v>44</v>
          </cell>
        </row>
        <row r="356">
          <cell r="B356" t="str">
            <v>Grilled Shrimp Burrito Bowl</v>
          </cell>
          <cell r="C356">
            <v>64</v>
          </cell>
        </row>
        <row r="357">
          <cell r="B357" t="str">
            <v>Grilled Shrimp Ranchero Burrito</v>
          </cell>
          <cell r="C357">
            <v>64</v>
          </cell>
        </row>
        <row r="358">
          <cell r="B358" t="str">
            <v>Grilled Shrimp Sichuan Tacos</v>
          </cell>
          <cell r="C358">
            <v>66</v>
          </cell>
        </row>
        <row r="359">
          <cell r="B359" t="str">
            <v>Grilled Shrimp Taco Salad</v>
          </cell>
          <cell r="C359">
            <v>64</v>
          </cell>
        </row>
        <row r="360">
          <cell r="B360" t="str">
            <v>Grilled Shrimp Teppanyaki</v>
          </cell>
          <cell r="C360">
            <v>64</v>
          </cell>
        </row>
        <row r="361">
          <cell r="B361" t="str">
            <v>Ground Beef Burrito</v>
          </cell>
          <cell r="C361">
            <v>68</v>
          </cell>
        </row>
        <row r="362">
          <cell r="B362" t="str">
            <v>Ground Beef Burrito Bowl</v>
          </cell>
          <cell r="C362">
            <v>68</v>
          </cell>
        </row>
        <row r="363">
          <cell r="B363" t="str">
            <v>Ground Beef Ranchero Burrito</v>
          </cell>
          <cell r="C363">
            <v>68</v>
          </cell>
        </row>
        <row r="364">
          <cell r="B364" t="str">
            <v>Ground Beef Taco Salad</v>
          </cell>
          <cell r="C364">
            <v>69</v>
          </cell>
        </row>
        <row r="365">
          <cell r="B365" t="str">
            <v>Ground Beef Tacos</v>
          </cell>
          <cell r="C365">
            <v>68</v>
          </cell>
        </row>
        <row r="366">
          <cell r="B366" t="str">
            <v>Guacamole</v>
          </cell>
          <cell r="C366">
            <v>12</v>
          </cell>
        </row>
        <row r="367">
          <cell r="B367" t="str">
            <v>Gyeran-mari (Rolled Omelette)</v>
          </cell>
          <cell r="C367">
            <v>39</v>
          </cell>
        </row>
        <row r="368">
          <cell r="B368" t="str">
            <v>Halloumi Bagel</v>
          </cell>
          <cell r="C368">
            <v>82</v>
          </cell>
        </row>
        <row r="369">
          <cell r="B369" t="str">
            <v>Halloumi Cheese Bagel</v>
          </cell>
          <cell r="C369">
            <v>52</v>
          </cell>
        </row>
        <row r="370">
          <cell r="B370" t="str">
            <v>Hara Bhara Kabab</v>
          </cell>
          <cell r="C370">
            <v>33</v>
          </cell>
        </row>
        <row r="371">
          <cell r="B371" t="str">
            <v>Haryali Chicken Tikka</v>
          </cell>
          <cell r="C371">
            <v>50</v>
          </cell>
        </row>
        <row r="372">
          <cell r="B372" t="str">
            <v>Hash Brown (2 Pcs)</v>
          </cell>
          <cell r="C372">
            <v>22</v>
          </cell>
        </row>
        <row r="373">
          <cell r="B373" t="str">
            <v>Hash Browns (2 Pcs)</v>
          </cell>
          <cell r="C373">
            <v>22</v>
          </cell>
        </row>
        <row r="374">
          <cell r="B374" t="str">
            <v>Hashbrowns (2 Pcs)</v>
          </cell>
          <cell r="C374">
            <v>18</v>
          </cell>
        </row>
        <row r="375">
          <cell r="B375" t="str">
            <v>Hearty Feast</v>
          </cell>
          <cell r="C375">
            <v>73</v>
          </cell>
        </row>
        <row r="376">
          <cell r="B376" t="str">
            <v>Hearty Protein Bowl</v>
          </cell>
          <cell r="C376">
            <v>62</v>
          </cell>
        </row>
        <row r="377">
          <cell r="B377" t="str">
            <v>Herbed Chicken Soup Hunan Comfort</v>
          </cell>
          <cell r="C377">
            <v>38</v>
          </cell>
        </row>
        <row r="378">
          <cell r="B378" t="str">
            <v>Homestyle French Toast</v>
          </cell>
          <cell r="C378">
            <v>45</v>
          </cell>
        </row>
        <row r="379">
          <cell r="B379" t="str">
            <v>Homestyle Guacamole</v>
          </cell>
          <cell r="C379">
            <v>12</v>
          </cell>
        </row>
        <row r="380">
          <cell r="B380" t="str">
            <v>Homestyle Levantine Shakshuka</v>
          </cell>
          <cell r="C380">
            <v>52</v>
          </cell>
        </row>
        <row r="381">
          <cell r="B381" t="str">
            <v>Honey BBQ Chicken Burger</v>
          </cell>
          <cell r="C381">
            <v>56</v>
          </cell>
        </row>
        <row r="382">
          <cell r="B382" t="str">
            <v>Honey BBQ Chicken Sliders</v>
          </cell>
          <cell r="C382">
            <v>59</v>
          </cell>
        </row>
        <row r="383">
          <cell r="B383" t="str">
            <v>Honey BBQ Dip</v>
          </cell>
          <cell r="C383">
            <v>8</v>
          </cell>
        </row>
        <row r="384">
          <cell r="B384" t="str">
            <v>Honey Chilli Golden Crisp</v>
          </cell>
          <cell r="C384">
            <v>46</v>
          </cell>
        </row>
        <row r="385">
          <cell r="B385" t="str">
            <v>Honey Chilli Potato</v>
          </cell>
          <cell r="C385">
            <v>36</v>
          </cell>
        </row>
        <row r="386">
          <cell r="B386" t="str">
            <v>Honey Chilli Potatoes</v>
          </cell>
          <cell r="C386">
            <v>36</v>
          </cell>
        </row>
        <row r="387">
          <cell r="B387" t="str">
            <v>Honey Chilli Shrimp</v>
          </cell>
          <cell r="C387">
            <v>49</v>
          </cell>
        </row>
        <row r="388">
          <cell r="B388" t="str">
            <v>Honey Garlic Wings</v>
          </cell>
          <cell r="C388">
            <v>69</v>
          </cell>
        </row>
        <row r="389">
          <cell r="B389" t="str">
            <v>Honey Mustard Dip</v>
          </cell>
          <cell r="C389">
            <v>8</v>
          </cell>
        </row>
        <row r="390">
          <cell r="B390" t="str">
            <v>Honey Mustard Falafel Slider</v>
          </cell>
          <cell r="C390">
            <v>48</v>
          </cell>
        </row>
        <row r="391">
          <cell r="B391" t="str">
            <v>Honey Mustard Grilled Halloumi Slider</v>
          </cell>
          <cell r="C391">
            <v>58</v>
          </cell>
        </row>
        <row r="392">
          <cell r="B392" t="str">
            <v>Honey Mustard Sauce</v>
          </cell>
          <cell r="C392">
            <v>8</v>
          </cell>
        </row>
        <row r="393">
          <cell r="B393" t="str">
            <v>Honey Mustard Tenders</v>
          </cell>
          <cell r="C393">
            <v>51</v>
          </cell>
        </row>
        <row r="394">
          <cell r="B394" t="str">
            <v>Honey Mustard Wings</v>
          </cell>
          <cell r="C394">
            <v>61</v>
          </cell>
        </row>
        <row r="395">
          <cell r="B395" t="str">
            <v>Honey-Chili Glazed Street</v>
          </cell>
          <cell r="C395">
            <v>43</v>
          </cell>
        </row>
        <row r="396">
          <cell r="B396" t="str">
            <v>Honey Chilli Shrimp</v>
          </cell>
          <cell r="C396">
            <v>49</v>
          </cell>
        </row>
        <row r="397">
          <cell r="B397" t="str">
            <v>Honey Chilli Potato</v>
          </cell>
          <cell r="C397">
            <v>36</v>
          </cell>
        </row>
        <row r="398">
          <cell r="B398" t="str">
            <v>Honey Chilli Potatoes</v>
          </cell>
          <cell r="C398">
            <v>36</v>
          </cell>
        </row>
        <row r="399">
          <cell r="B399" t="str">
            <v>Honey Chilli Shrimp</v>
          </cell>
          <cell r="C399">
            <v>49</v>
          </cell>
        </row>
        <row r="400">
          <cell r="B400" t="str">
            <v>Honey Garlic Chicken</v>
          </cell>
          <cell r="C400">
            <v>70</v>
          </cell>
        </row>
        <row r="401">
          <cell r="B401" t="str">
            <v>Honey Garlic Wings</v>
          </cell>
          <cell r="C401">
            <v>74</v>
          </cell>
        </row>
        <row r="402">
          <cell r="B402" t="str">
            <v>Hot Garlic Sichuan Sizzle</v>
          </cell>
          <cell r="C402">
            <v>46</v>
          </cell>
        </row>
        <row r="403">
          <cell r="B403" t="str">
            <v>Hot Honey Burger</v>
          </cell>
          <cell r="C403">
            <v>58</v>
          </cell>
        </row>
        <row r="404">
          <cell r="B404" t="str">
            <v>Hot Honey Chicken Wrap</v>
          </cell>
          <cell r="C404">
            <v>56</v>
          </cell>
        </row>
        <row r="405">
          <cell r="B405" t="str">
            <v>Hot Honey Sliders</v>
          </cell>
          <cell r="C405">
            <v>62</v>
          </cell>
        </row>
        <row r="406">
          <cell r="B406" t="str">
            <v>Hot Honey Tenders</v>
          </cell>
          <cell r="C406">
            <v>52</v>
          </cell>
        </row>
        <row r="407">
          <cell r="B407" t="str">
            <v>Hot Honey Wings</v>
          </cell>
          <cell r="C407">
            <v>62</v>
          </cell>
        </row>
        <row r="408">
          <cell r="B408" t="str">
            <v>Hot Honey Chicken Wrap</v>
          </cell>
          <cell r="C408">
            <v>40</v>
          </cell>
        </row>
        <row r="409">
          <cell r="B409" t="str">
            <v>Hot Honey Chicken Wrap</v>
          </cell>
          <cell r="C409">
            <v>40</v>
          </cell>
        </row>
        <row r="410">
          <cell r="B410" t="str">
            <v>House Slaw</v>
          </cell>
          <cell r="C410">
            <v>28</v>
          </cell>
        </row>
        <row r="411">
          <cell r="B411" t="str">
            <v>House Truffle Mayo</v>
          </cell>
          <cell r="C411">
            <v>10</v>
          </cell>
        </row>
        <row r="412">
          <cell r="B412" t="str">
            <v>House Kimchi</v>
          </cell>
          <cell r="C412">
            <v>19</v>
          </cell>
        </row>
        <row r="413">
          <cell r="B413" t="str">
            <v>Hunan Chili Sauce Thick and Spicy</v>
          </cell>
          <cell r="C413">
            <v>45</v>
          </cell>
        </row>
        <row r="414">
          <cell r="B414" t="str">
            <v>Hunan Crispy Chilli Glaze</v>
          </cell>
          <cell r="C414">
            <v>41</v>
          </cell>
        </row>
        <row r="415">
          <cell r="B415" t="str">
            <v>Hyderabadi Fish Tikka</v>
          </cell>
          <cell r="C415">
            <v>33</v>
          </cell>
        </row>
        <row r="416">
          <cell r="B416" t="str">
            <v>Iftar Korean Rice Bowl Duo</v>
          </cell>
          <cell r="C416">
            <v>124</v>
          </cell>
        </row>
        <row r="417">
          <cell r="B417" t="str">
            <v>Iftar Korean Rice Bowl Family of 4</v>
          </cell>
          <cell r="C417">
            <v>195</v>
          </cell>
        </row>
        <row r="418">
          <cell r="B418" t="str">
            <v>Iftar Korean Rice Bowl Solo</v>
          </cell>
          <cell r="C418">
            <v>74</v>
          </cell>
        </row>
        <row r="419">
          <cell r="B419" t="str">
            <v>Iftar Vegetarian Korean Bowl Feast</v>
          </cell>
          <cell r="C419">
            <v>142</v>
          </cell>
        </row>
        <row r="420">
          <cell r="B420" t="str">
            <v>Island Fusion</v>
          </cell>
          <cell r="C420">
            <v>72</v>
          </cell>
        </row>
        <row r="421">
          <cell r="B421" t="str">
            <v>Italian Chicken Burger</v>
          </cell>
          <cell r="C421">
            <v>58</v>
          </cell>
        </row>
        <row r="422">
          <cell r="B422" t="str">
            <v>Italian Chicken Sliders</v>
          </cell>
          <cell r="C422">
            <v>62</v>
          </cell>
        </row>
        <row r="423">
          <cell r="B423" t="str">
            <v>Japchae &amp; Shrimp Kimbap</v>
          </cell>
          <cell r="C423">
            <v>69</v>
          </cell>
        </row>
        <row r="424">
          <cell r="B424" t="str">
            <v>Japchae Beef</v>
          </cell>
          <cell r="C424">
            <v>84</v>
          </cell>
        </row>
        <row r="425">
          <cell r="B425" t="str">
            <v>Japchae Chicken</v>
          </cell>
          <cell r="C425">
            <v>69</v>
          </cell>
        </row>
        <row r="426">
          <cell r="B426" t="str">
            <v>Japchae Veg</v>
          </cell>
          <cell r="C426">
            <v>67</v>
          </cell>
        </row>
        <row r="427">
          <cell r="B427" t="str">
            <v>Japchae &amp; Shrimp Kimbap</v>
          </cell>
          <cell r="C427">
            <v>68</v>
          </cell>
        </row>
        <row r="428">
          <cell r="B428" t="str">
            <v>Japchae Beef</v>
          </cell>
          <cell r="C428">
            <v>84</v>
          </cell>
        </row>
        <row r="429">
          <cell r="B429" t="str">
            <v>Japchae Veg</v>
          </cell>
          <cell r="C429">
            <v>59</v>
          </cell>
        </row>
        <row r="430">
          <cell r="B430" t="str">
            <v>Jarritos Soda</v>
          </cell>
          <cell r="C430">
            <v>22</v>
          </cell>
        </row>
        <row r="431">
          <cell r="B431" t="str">
            <v>Jeera Rice</v>
          </cell>
          <cell r="C431">
            <v>20</v>
          </cell>
        </row>
        <row r="432">
          <cell r="B432" t="str">
            <v>Jjajangmyeon</v>
          </cell>
          <cell r="C432">
            <v>78</v>
          </cell>
        </row>
        <row r="433">
          <cell r="B433" t="str">
            <v>Jjamppong</v>
          </cell>
          <cell r="C433">
            <v>78</v>
          </cell>
        </row>
        <row r="434">
          <cell r="B434" t="str">
            <v>Jjamppong Bap</v>
          </cell>
          <cell r="C434">
            <v>79</v>
          </cell>
        </row>
        <row r="435">
          <cell r="B435" t="str">
            <v>Jjamppong Bap</v>
          </cell>
          <cell r="C435">
            <v>77</v>
          </cell>
        </row>
        <row r="436">
          <cell r="B436" t="str">
            <v>Kachumber Salad</v>
          </cell>
          <cell r="C436">
            <v>10</v>
          </cell>
        </row>
        <row r="437">
          <cell r="B437" t="str">
            <v>Kadai Chaap</v>
          </cell>
          <cell r="C437">
            <v>49</v>
          </cell>
        </row>
        <row r="438">
          <cell r="B438" t="str">
            <v>Kadai Chicken</v>
          </cell>
          <cell r="C438">
            <v>36</v>
          </cell>
        </row>
        <row r="439">
          <cell r="B439" t="str">
            <v>Kadai Mutton</v>
          </cell>
          <cell r="C439">
            <v>52</v>
          </cell>
        </row>
        <row r="440">
          <cell r="B440" t="str">
            <v>Kadhai Paneer</v>
          </cell>
          <cell r="C440">
            <v>41</v>
          </cell>
        </row>
        <row r="441">
          <cell r="B441" t="str">
            <v>Kani Hosomaki</v>
          </cell>
          <cell r="C441">
            <v>36</v>
          </cell>
        </row>
        <row r="442">
          <cell r="B442" t="str">
            <v>Kashmiri Pulao</v>
          </cell>
          <cell r="C442">
            <v>26</v>
          </cell>
        </row>
        <row r="443">
          <cell r="B443" t="str">
            <v>Kids Classic French Toast</v>
          </cell>
          <cell r="C443">
            <v>32</v>
          </cell>
        </row>
        <row r="444">
          <cell r="B444" t="str">
            <v>Kids French Toast</v>
          </cell>
          <cell r="C444">
            <v>38</v>
          </cell>
        </row>
        <row r="445">
          <cell r="B445" t="str">
            <v>Kimchi Jjigae</v>
          </cell>
          <cell r="C445">
            <v>76</v>
          </cell>
        </row>
        <row r="446">
          <cell r="B446" t="str">
            <v>Kimchi Kimbap</v>
          </cell>
          <cell r="C446">
            <v>54</v>
          </cell>
        </row>
        <row r="447">
          <cell r="B447" t="str">
            <v>Kimchi Shrimp Fried Rice</v>
          </cell>
          <cell r="C447">
            <v>71</v>
          </cell>
        </row>
        <row r="448">
          <cell r="B448" t="str">
            <v>Kimchi Shrimp Fried Rice</v>
          </cell>
          <cell r="C448">
            <v>71</v>
          </cell>
        </row>
        <row r="449">
          <cell r="B449" t="str">
            <v>Kimchi Jjigae</v>
          </cell>
          <cell r="C449">
            <v>76</v>
          </cell>
        </row>
        <row r="450">
          <cell r="B450" t="str">
            <v>Kimchi Shrimp Fried Rice</v>
          </cell>
          <cell r="C450">
            <v>70</v>
          </cell>
        </row>
        <row r="451">
          <cell r="B451" t="str">
            <v>Kongnamul Muchim</v>
          </cell>
          <cell r="C451">
            <v>19</v>
          </cell>
        </row>
        <row r="452">
          <cell r="B452" t="str">
            <v>Korean Style Chicken</v>
          </cell>
          <cell r="C452">
            <v>69</v>
          </cell>
        </row>
        <row r="453">
          <cell r="B453" t="str">
            <v>Korean Style Chicken</v>
          </cell>
          <cell r="C453">
            <v>67</v>
          </cell>
        </row>
        <row r="454">
          <cell r="B454" t="str">
            <v>Kung Pao Spicy Peppercorn Bliss</v>
          </cell>
          <cell r="C454">
            <v>46</v>
          </cell>
        </row>
        <row r="455">
          <cell r="B455" t="str">
            <v>Lachha Parantha</v>
          </cell>
          <cell r="C455">
            <v>16</v>
          </cell>
        </row>
        <row r="456">
          <cell r="B456" t="str">
            <v>Levantine Shakshuka</v>
          </cell>
          <cell r="C456">
            <v>58</v>
          </cell>
        </row>
        <row r="457">
          <cell r="B457" t="str">
            <v>Loaded Nachos</v>
          </cell>
          <cell r="C457">
            <v>52</v>
          </cell>
        </row>
        <row r="458">
          <cell r="B458" t="str">
            <v>Lotus Biscoff Dip</v>
          </cell>
          <cell r="C458">
            <v>10</v>
          </cell>
        </row>
        <row r="459">
          <cell r="B459" t="str">
            <v>Lotus Biscoff Drizzle</v>
          </cell>
          <cell r="C459">
            <v>10</v>
          </cell>
        </row>
        <row r="460">
          <cell r="B460" t="str">
            <v>Lotus Biscoff Pancake</v>
          </cell>
          <cell r="C460">
            <v>65</v>
          </cell>
        </row>
        <row r="461">
          <cell r="B461" t="str">
            <v>Lotus Biscoff Pancakes</v>
          </cell>
          <cell r="C461">
            <v>52</v>
          </cell>
        </row>
        <row r="462">
          <cell r="B462" t="str">
            <v>Lotus Biscoff Sauce</v>
          </cell>
          <cell r="C462">
            <v>8</v>
          </cell>
        </row>
        <row r="463">
          <cell r="B463" t="str">
            <v>Lox &amp; Cream Cheese</v>
          </cell>
          <cell r="C463">
            <v>74</v>
          </cell>
        </row>
        <row r="464">
          <cell r="B464" t="str">
            <v>Lox &amp; Cream Cheese Bagel</v>
          </cell>
          <cell r="C464">
            <v>62</v>
          </cell>
        </row>
        <row r="465">
          <cell r="B465" t="str">
            <v>Lox and Cream Cheese</v>
          </cell>
          <cell r="C465">
            <v>72</v>
          </cell>
        </row>
        <row r="466">
          <cell r="B466" t="str">
            <v>Lunch Special</v>
          </cell>
          <cell r="C466">
            <v>81</v>
          </cell>
        </row>
        <row r="467">
          <cell r="B467" t="str">
            <v>Malai Broccoli</v>
          </cell>
          <cell r="C467">
            <v>51</v>
          </cell>
        </row>
        <row r="468">
          <cell r="B468" t="str">
            <v>Malai Chicken Tikka</v>
          </cell>
          <cell r="C468">
            <v>51</v>
          </cell>
        </row>
        <row r="469">
          <cell r="B469" t="str">
            <v>Manchow Soup with Sichuan Spice Infusion</v>
          </cell>
          <cell r="C469">
            <v>33</v>
          </cell>
        </row>
        <row r="470">
          <cell r="B470" t="str">
            <v>Manchow with Crispy Noodles</v>
          </cell>
          <cell r="C470">
            <v>34</v>
          </cell>
        </row>
        <row r="471">
          <cell r="B471" t="str">
            <v>Manchurian Delight Spicy &amp; Savory</v>
          </cell>
          <cell r="C471">
            <v>46</v>
          </cell>
        </row>
        <row r="472">
          <cell r="B472" t="str">
            <v>Manchurian With Soy</v>
          </cell>
          <cell r="C472">
            <v>44</v>
          </cell>
        </row>
        <row r="473">
          <cell r="B473" t="str">
            <v>Mango &amp; Berries</v>
          </cell>
          <cell r="C473">
            <v>62</v>
          </cell>
        </row>
        <row r="474">
          <cell r="B474" t="str">
            <v>Mango &amp; Berry</v>
          </cell>
          <cell r="C474">
            <v>50</v>
          </cell>
        </row>
        <row r="475">
          <cell r="B475" t="str">
            <v>Mango &amp; Berry Oats</v>
          </cell>
          <cell r="C475">
            <v>58</v>
          </cell>
        </row>
        <row r="476">
          <cell r="B476" t="str">
            <v>Mango Roll</v>
          </cell>
          <cell r="C476">
            <v>51</v>
          </cell>
        </row>
        <row r="477">
          <cell r="B477" t="str">
            <v>Maple Syrup</v>
          </cell>
          <cell r="C477">
            <v>6</v>
          </cell>
        </row>
        <row r="478">
          <cell r="B478" t="str">
            <v>Mayonnaise</v>
          </cell>
          <cell r="C478">
            <v>8</v>
          </cell>
        </row>
        <row r="479">
          <cell r="B479" t="str">
            <v>Mediterranean Za'atar Toast</v>
          </cell>
          <cell r="C479">
            <v>82</v>
          </cell>
        </row>
        <row r="480">
          <cell r="B480" t="str">
            <v>Mediterranean Za'atar Toasts</v>
          </cell>
          <cell r="C480">
            <v>58</v>
          </cell>
        </row>
        <row r="481">
          <cell r="B481" t="str">
            <v>Mediterranean Zaatar Toast</v>
          </cell>
          <cell r="C481">
            <v>58</v>
          </cell>
        </row>
        <row r="482">
          <cell r="B482" t="str">
            <v>Mexican Crunch Beef Burger</v>
          </cell>
          <cell r="C482">
            <v>71</v>
          </cell>
        </row>
        <row r="483">
          <cell r="B483" t="str">
            <v>Mexican Crunch Beef Sliders</v>
          </cell>
          <cell r="C483">
            <v>71</v>
          </cell>
        </row>
        <row r="484">
          <cell r="B484" t="str">
            <v>Mexican Crunch Chicken Burger</v>
          </cell>
          <cell r="C484">
            <v>57</v>
          </cell>
        </row>
        <row r="485">
          <cell r="B485" t="str">
            <v>Mexican Crunch Chicken Sliders</v>
          </cell>
          <cell r="C485">
            <v>62</v>
          </cell>
        </row>
        <row r="486">
          <cell r="B486" t="str">
            <v>Mexican Omelet</v>
          </cell>
          <cell r="C486">
            <v>62</v>
          </cell>
        </row>
        <row r="487">
          <cell r="B487" t="str">
            <v>Mexican Ranch Dip</v>
          </cell>
          <cell r="C487">
            <v>8</v>
          </cell>
        </row>
        <row r="488">
          <cell r="B488" t="str">
            <v>Middle Eastern Breakfast Bowl</v>
          </cell>
          <cell r="C488">
            <v>58</v>
          </cell>
        </row>
        <row r="489">
          <cell r="B489" t="str">
            <v>Middle Eastern Nourish Bowl</v>
          </cell>
          <cell r="C489">
            <v>68</v>
          </cell>
        </row>
        <row r="490">
          <cell r="B490" t="str">
            <v>Mineral Water</v>
          </cell>
          <cell r="C490">
            <v>14</v>
          </cell>
        </row>
        <row r="491">
          <cell r="B491" t="str">
            <v>Mineral Water</v>
          </cell>
          <cell r="C491">
            <v>5</v>
          </cell>
        </row>
        <row r="492">
          <cell r="B492" t="str">
            <v>Mini Bagel &amp; Cream Cheese</v>
          </cell>
          <cell r="C492">
            <v>40</v>
          </cell>
        </row>
        <row r="493">
          <cell r="B493" t="str">
            <v>Mini Pancake Stack (5 pcs)</v>
          </cell>
          <cell r="C493">
            <v>32</v>
          </cell>
        </row>
        <row r="494">
          <cell r="B494" t="str">
            <v>Mini Pancakes (5 Pcs)</v>
          </cell>
          <cell r="C494">
            <v>42</v>
          </cell>
        </row>
        <row r="495">
          <cell r="B495" t="str">
            <v>Mint Chutney (4 Oz)</v>
          </cell>
          <cell r="C495">
            <v>7</v>
          </cell>
        </row>
        <row r="496">
          <cell r="B496" t="str">
            <v>Mint Chutney (Extra Small)</v>
          </cell>
          <cell r="C496">
            <v>5</v>
          </cell>
        </row>
        <row r="497">
          <cell r="B497" t="str">
            <v>Miso Beef Ramen</v>
          </cell>
          <cell r="C497">
            <v>74</v>
          </cell>
        </row>
        <row r="498">
          <cell r="B498" t="str">
            <v>Miso Beef Ramen</v>
          </cell>
          <cell r="C498">
            <v>79</v>
          </cell>
        </row>
        <row r="499">
          <cell r="B499" t="str">
            <v>Miso Chicken Ramen</v>
          </cell>
          <cell r="C499">
            <v>69</v>
          </cell>
        </row>
        <row r="500">
          <cell r="B500" t="str">
            <v>Miso Soup</v>
          </cell>
          <cell r="C500">
            <v>37</v>
          </cell>
        </row>
        <row r="501">
          <cell r="B501" t="str">
            <v>Miso Beef Ramen</v>
          </cell>
          <cell r="C501">
            <v>80</v>
          </cell>
        </row>
        <row r="502">
          <cell r="B502" t="str">
            <v>Miso Chicken Ramen</v>
          </cell>
          <cell r="C502">
            <v>69</v>
          </cell>
        </row>
        <row r="503">
          <cell r="B503" t="str">
            <v>Miso Soup</v>
          </cell>
          <cell r="C503">
            <v>37</v>
          </cell>
        </row>
        <row r="504">
          <cell r="B504" t="str">
            <v>Missi Roti</v>
          </cell>
          <cell r="C504">
            <v>16</v>
          </cell>
        </row>
        <row r="505">
          <cell r="B505" t="str">
            <v>Mongolian Fried with Ginger and Garlic</v>
          </cell>
          <cell r="C505">
            <v>43</v>
          </cell>
        </row>
        <row r="506">
          <cell r="B506" t="str">
            <v>Mongolian Sichuan Flame</v>
          </cell>
          <cell r="C506">
            <v>45</v>
          </cell>
        </row>
        <row r="507">
          <cell r="B507" t="str">
            <v>Mongolian Stir Fry</v>
          </cell>
          <cell r="C507">
            <v>44</v>
          </cell>
        </row>
        <row r="508">
          <cell r="B508" t="str">
            <v>Mozzarella Sticks</v>
          </cell>
          <cell r="C508">
            <v>29</v>
          </cell>
        </row>
        <row r="509">
          <cell r="B509" t="str">
            <v>Murg Angaari</v>
          </cell>
          <cell r="C509">
            <v>49</v>
          </cell>
        </row>
        <row r="510">
          <cell r="B510" t="str">
            <v>Mushroom Masala</v>
          </cell>
          <cell r="C510">
            <v>35</v>
          </cell>
        </row>
        <row r="511">
          <cell r="B511" t="str">
            <v>Mushroom Truffle Beef Burger</v>
          </cell>
          <cell r="C511">
            <v>75</v>
          </cell>
        </row>
        <row r="512">
          <cell r="B512" t="str">
            <v>Mushroom Truffle Beef Sliders</v>
          </cell>
          <cell r="C512">
            <v>73</v>
          </cell>
        </row>
        <row r="513">
          <cell r="B513" t="str">
            <v>Mutter Paneer</v>
          </cell>
          <cell r="C513">
            <v>44</v>
          </cell>
        </row>
        <row r="514">
          <cell r="B514" t="str">
            <v>Mutton Curry</v>
          </cell>
          <cell r="C514">
            <v>65</v>
          </cell>
        </row>
        <row r="515">
          <cell r="B515" t="str">
            <v>Mutton Handi Curry</v>
          </cell>
          <cell r="C515">
            <v>58</v>
          </cell>
        </row>
        <row r="516">
          <cell r="B516" t="str">
            <v>Mutton Rogan Josh</v>
          </cell>
          <cell r="C516">
            <v>58</v>
          </cell>
        </row>
        <row r="517">
          <cell r="B517" t="str">
            <v>Nachos</v>
          </cell>
          <cell r="C517">
            <v>35</v>
          </cell>
        </row>
        <row r="518">
          <cell r="B518" t="str">
            <v>Nachos And Guacamole</v>
          </cell>
          <cell r="C518">
            <v>37</v>
          </cell>
        </row>
        <row r="519">
          <cell r="B519" t="str">
            <v>Nakji Bokkeum (Octopus)</v>
          </cell>
          <cell r="C519">
            <v>79</v>
          </cell>
        </row>
        <row r="520">
          <cell r="B520" t="str">
            <v>Nakji Bokkeum (Octopus)</v>
          </cell>
          <cell r="C520">
            <v>79</v>
          </cell>
        </row>
        <row r="521">
          <cell r="B521" t="str">
            <v>Non-Veg Complete Meal</v>
          </cell>
          <cell r="C521">
            <v>96</v>
          </cell>
        </row>
        <row r="522">
          <cell r="B522" t="str">
            <v>Norii Gold Collection</v>
          </cell>
          <cell r="C522">
            <v>152</v>
          </cell>
        </row>
        <row r="523">
          <cell r="B523" t="str">
            <v>Nutella &amp; Berries Pancakes</v>
          </cell>
          <cell r="C523">
            <v>68</v>
          </cell>
        </row>
        <row r="524">
          <cell r="B524" t="str">
            <v>Nutella &amp; Berry Pancakes</v>
          </cell>
          <cell r="C524">
            <v>54</v>
          </cell>
        </row>
        <row r="525">
          <cell r="B525" t="str">
            <v>Nutella Toast</v>
          </cell>
          <cell r="C525">
            <v>38</v>
          </cell>
        </row>
        <row r="526">
          <cell r="B526" t="str">
            <v>Nutella and Berry Pancakes</v>
          </cell>
          <cell r="C526">
            <v>48</v>
          </cell>
        </row>
        <row r="527">
          <cell r="B527" t="str">
            <v>Office Meal (Non Veg)</v>
          </cell>
          <cell r="C527">
            <v>64</v>
          </cell>
        </row>
        <row r="528">
          <cell r="B528" t="str">
            <v>Office Meal (Veg)</v>
          </cell>
          <cell r="C528">
            <v>54</v>
          </cell>
        </row>
        <row r="529">
          <cell r="B529" t="str">
            <v>Ojingeo Deopbap (Squid)</v>
          </cell>
          <cell r="C529">
            <v>74</v>
          </cell>
        </row>
        <row r="530">
          <cell r="B530" t="str">
            <v>Ojingeo Deopbap (Squid)</v>
          </cell>
          <cell r="C530">
            <v>76</v>
          </cell>
        </row>
        <row r="531">
          <cell r="B531" t="str">
            <v>Okinawa Roll</v>
          </cell>
          <cell r="C531">
            <v>59</v>
          </cell>
        </row>
        <row r="532">
          <cell r="B532" t="str">
            <v>Oneesan's Solace (Solo)</v>
          </cell>
          <cell r="C532">
            <v>111</v>
          </cell>
        </row>
        <row r="533">
          <cell r="B533" t="str">
            <v>Onion Rings</v>
          </cell>
          <cell r="C533">
            <v>25</v>
          </cell>
        </row>
        <row r="534">
          <cell r="B534" t="str">
            <v>Original Oats</v>
          </cell>
          <cell r="C534">
            <v>58</v>
          </cell>
        </row>
        <row r="535">
          <cell r="B535" t="str">
            <v>Oyster Chilli Sichuan Zest</v>
          </cell>
          <cell r="C535">
            <v>45</v>
          </cell>
        </row>
        <row r="536">
          <cell r="B536" t="str">
            <v>Palak Paneer</v>
          </cell>
          <cell r="C536">
            <v>45</v>
          </cell>
        </row>
        <row r="537">
          <cell r="B537" t="str">
            <v>Paneer Bhurji</v>
          </cell>
          <cell r="C537">
            <v>39</v>
          </cell>
        </row>
        <row r="538">
          <cell r="B538" t="str">
            <v>Paneer Butter Masala</v>
          </cell>
          <cell r="C538">
            <v>48</v>
          </cell>
        </row>
        <row r="539">
          <cell r="B539" t="str">
            <v>Paneer Lababdar</v>
          </cell>
          <cell r="C539">
            <v>45</v>
          </cell>
        </row>
        <row r="540">
          <cell r="B540" t="str">
            <v>Paneer Lover's Combo</v>
          </cell>
          <cell r="C540">
            <v>89</v>
          </cell>
        </row>
        <row r="541">
          <cell r="B541" t="str">
            <v>Paneer Malai Tikka</v>
          </cell>
          <cell r="C541">
            <v>49</v>
          </cell>
        </row>
        <row r="542">
          <cell r="B542" t="str">
            <v>Paneer Tikka</v>
          </cell>
          <cell r="C542">
            <v>47</v>
          </cell>
        </row>
        <row r="543">
          <cell r="B543" t="str">
            <v>Paneer Tikka Masala</v>
          </cell>
          <cell r="C543">
            <v>51</v>
          </cell>
        </row>
        <row r="544">
          <cell r="B544" t="str">
            <v>Peanut Butter Acai Bowl</v>
          </cell>
          <cell r="C544">
            <v>72</v>
          </cell>
        </row>
        <row r="545">
          <cell r="B545" t="str">
            <v>Peanut Butter Acai Bowl</v>
          </cell>
          <cell r="C545">
            <v>58</v>
          </cell>
        </row>
        <row r="546">
          <cell r="B546" t="str">
            <v>Pepper Crispy Strips</v>
          </cell>
          <cell r="C546">
            <v>41</v>
          </cell>
        </row>
        <row r="547">
          <cell r="B547" t="str">
            <v>Peshawari Murgh</v>
          </cell>
          <cell r="C547">
            <v>40</v>
          </cell>
        </row>
        <row r="548">
          <cell r="B548" t="str">
            <v>Philadelphia Roll</v>
          </cell>
          <cell r="C548">
            <v>47</v>
          </cell>
        </row>
        <row r="549">
          <cell r="B549" t="str">
            <v>Phulka (2 Pcs)</v>
          </cell>
          <cell r="C549">
            <v>9</v>
          </cell>
        </row>
        <row r="550">
          <cell r="B550" t="str">
            <v>Pickle</v>
          </cell>
          <cell r="C550">
            <v>5</v>
          </cell>
        </row>
        <row r="551">
          <cell r="B551" t="str">
            <v>Pindi Chole</v>
          </cell>
          <cell r="C551">
            <v>34</v>
          </cell>
        </row>
        <row r="552">
          <cell r="B552" t="str">
            <v>Plain Dahi</v>
          </cell>
          <cell r="C552">
            <v>16</v>
          </cell>
        </row>
        <row r="553">
          <cell r="B553" t="str">
            <v>Plain Naan</v>
          </cell>
          <cell r="C553">
            <v>13</v>
          </cell>
        </row>
        <row r="554">
          <cell r="B554" t="str">
            <v>Plain Tenders</v>
          </cell>
          <cell r="C554">
            <v>49</v>
          </cell>
        </row>
        <row r="555">
          <cell r="B555" t="str">
            <v>Plain Wings</v>
          </cell>
          <cell r="C555">
            <v>58</v>
          </cell>
        </row>
        <row r="556">
          <cell r="B556" t="str">
            <v>Power Breakfast Tacos (3 Pcs)</v>
          </cell>
          <cell r="C556">
            <v>62</v>
          </cell>
        </row>
        <row r="557">
          <cell r="B557" t="str">
            <v>Power Protein Bowl</v>
          </cell>
          <cell r="C557">
            <v>75</v>
          </cell>
        </row>
        <row r="558">
          <cell r="B558" t="str">
            <v>Prawn Curry</v>
          </cell>
          <cell r="C558">
            <v>40</v>
          </cell>
        </row>
        <row r="559">
          <cell r="B559" t="str">
            <v>Prawn Katsu</v>
          </cell>
          <cell r="C559">
            <v>56</v>
          </cell>
        </row>
        <row r="560">
          <cell r="B560" t="str">
            <v>Prawn Ramen</v>
          </cell>
          <cell r="C560">
            <v>74</v>
          </cell>
        </row>
        <row r="561">
          <cell r="B561" t="str">
            <v>Prawn Tempura</v>
          </cell>
          <cell r="C561">
            <v>59</v>
          </cell>
        </row>
        <row r="562">
          <cell r="B562" t="str">
            <v>Protein Acai Bowl</v>
          </cell>
          <cell r="C562">
            <v>68</v>
          </cell>
        </row>
        <row r="563">
          <cell r="B563" t="str">
            <v>Protein Acai Bowl</v>
          </cell>
          <cell r="C563">
            <v>62</v>
          </cell>
        </row>
        <row r="564">
          <cell r="B564" t="str">
            <v>Protein Power Bowl</v>
          </cell>
          <cell r="C564">
            <v>58</v>
          </cell>
        </row>
        <row r="565">
          <cell r="B565" t="str">
            <v>Punjabi Kulcha</v>
          </cell>
          <cell r="C565">
            <v>21</v>
          </cell>
        </row>
        <row r="566">
          <cell r="B566" t="str">
            <v>Pure Maple Syrup</v>
          </cell>
          <cell r="C566">
            <v>8</v>
          </cell>
        </row>
        <row r="567">
          <cell r="B567" t="str">
            <v>Pure Oats</v>
          </cell>
          <cell r="C567">
            <v>52</v>
          </cell>
        </row>
        <row r="568">
          <cell r="B568" t="str">
            <v>Rabokki</v>
          </cell>
          <cell r="C568">
            <v>82</v>
          </cell>
        </row>
        <row r="569">
          <cell r="B569" t="str">
            <v>Rainbow Roll</v>
          </cell>
          <cell r="C569">
            <v>58</v>
          </cell>
        </row>
        <row r="570">
          <cell r="B570" t="str">
            <v>Rajma</v>
          </cell>
          <cell r="C570">
            <v>33</v>
          </cell>
        </row>
        <row r="571">
          <cell r="B571" t="str">
            <v>Ramadan Couple Punjab Iftar</v>
          </cell>
          <cell r="C571">
            <v>158</v>
          </cell>
        </row>
        <row r="572">
          <cell r="B572" t="str">
            <v>Ramadan Couple Smoky Iftar</v>
          </cell>
          <cell r="C572">
            <v>152</v>
          </cell>
        </row>
        <row r="573">
          <cell r="B573" t="str">
            <v>Ramadan Couple Curry Iftar</v>
          </cell>
          <cell r="C573">
            <v>148</v>
          </cell>
        </row>
        <row r="574">
          <cell r="B574" t="str">
            <v>Ramadan Duo Iftar (10 Wings)</v>
          </cell>
          <cell r="C574">
            <v>115</v>
          </cell>
        </row>
        <row r="575">
          <cell r="B575" t="str">
            <v>Ramadan Duo Iftar (2 Pax)</v>
          </cell>
          <cell r="C575">
            <v>157</v>
          </cell>
        </row>
        <row r="576">
          <cell r="B576" t="str">
            <v>Ramadan Duo Iftar (4 Sliders)</v>
          </cell>
          <cell r="C576">
            <v>129</v>
          </cell>
        </row>
        <row r="577">
          <cell r="B577" t="str">
            <v>Ramadan Family Iftar Bucket (20 Wings)</v>
          </cell>
          <cell r="C577">
            <v>209</v>
          </cell>
        </row>
        <row r="578">
          <cell r="B578" t="str">
            <v>Ramadan Family Iftar Feast (4 Pax)</v>
          </cell>
          <cell r="C578">
            <v>269</v>
          </cell>
        </row>
        <row r="579">
          <cell r="B579" t="str">
            <v>Ramadan Family Iftar Feast (8 Sliders)</v>
          </cell>
          <cell r="C579">
            <v>239</v>
          </cell>
        </row>
        <row r="580">
          <cell r="B580" t="str">
            <v>Ramadan Family Punjab Iftar</v>
          </cell>
          <cell r="C580">
            <v>268</v>
          </cell>
        </row>
        <row r="581">
          <cell r="B581" t="str">
            <v>Ramadan Family Curry Iftar</v>
          </cell>
          <cell r="C581">
            <v>235</v>
          </cell>
        </row>
        <row r="582">
          <cell r="B582" t="str">
            <v>Ramadan Family Iftar</v>
          </cell>
          <cell r="C582">
            <v>240</v>
          </cell>
        </row>
        <row r="583">
          <cell r="B583" t="str">
            <v>Ramadan Family Smoky Iftar</v>
          </cell>
          <cell r="C583">
            <v>272</v>
          </cell>
        </row>
        <row r="584">
          <cell r="B584" t="str">
            <v>Ramadan Grand Iftar Party (12 Sliders)</v>
          </cell>
          <cell r="C584">
            <v>329</v>
          </cell>
        </row>
        <row r="585">
          <cell r="B585" t="str">
            <v>Ramadan Iftar Mexican Feast 6 Servings</v>
          </cell>
          <cell r="C585">
            <v>282</v>
          </cell>
        </row>
        <row r="586">
          <cell r="B586" t="str">
            <v>Ramadan Iftar Mexican Meal Duo</v>
          </cell>
          <cell r="C586">
            <v>124</v>
          </cell>
        </row>
        <row r="587">
          <cell r="B587" t="str">
            <v>Ramadan Iftar Mexican Meal Family of 4</v>
          </cell>
          <cell r="C587">
            <v>222</v>
          </cell>
        </row>
        <row r="588">
          <cell r="B588" t="str">
            <v>Ramadan Iftar Mexican Meal Solo</v>
          </cell>
          <cell r="C588">
            <v>73</v>
          </cell>
        </row>
        <row r="589">
          <cell r="B589" t="str">
            <v>Ramadan Korean Feast 6 Servings</v>
          </cell>
          <cell r="C589">
            <v>332</v>
          </cell>
        </row>
        <row r="590">
          <cell r="B590" t="str">
            <v>Ramadan Mega Iftar Mega Bucket (30 Wings)</v>
          </cell>
          <cell r="C590">
            <v>299</v>
          </cell>
        </row>
        <row r="591">
          <cell r="B591" t="str">
            <v>Ramadan Mini Iftar (2 Sliders)</v>
          </cell>
          <cell r="C591">
            <v>69</v>
          </cell>
        </row>
        <row r="592">
          <cell r="B592" t="str">
            <v>Ramadan Party Iftar Party (6 Pax)</v>
          </cell>
          <cell r="C592">
            <v>389</v>
          </cell>
        </row>
        <row r="593">
          <cell r="B593" t="str">
            <v>Ramadan Premium Punjab Iftar</v>
          </cell>
          <cell r="C593">
            <v>215</v>
          </cell>
        </row>
        <row r="594">
          <cell r="B594" t="str">
            <v>Ramadan Premium Curry Iftar</v>
          </cell>
          <cell r="C594">
            <v>200</v>
          </cell>
        </row>
        <row r="595">
          <cell r="B595" t="str">
            <v>Ramadan Premium Smoky Iftar</v>
          </cell>
          <cell r="C595">
            <v>225</v>
          </cell>
        </row>
        <row r="596">
          <cell r="B596" t="str">
            <v>Ramadan Royal Iftar</v>
          </cell>
          <cell r="C596">
            <v>220</v>
          </cell>
        </row>
        <row r="597">
          <cell r="B597" t="str">
            <v>Ramadan Solo Iftar</v>
          </cell>
          <cell r="C597">
            <v>87</v>
          </cell>
        </row>
        <row r="598">
          <cell r="B598" t="str">
            <v>Ramadan Solo Iftar (5 Wings)</v>
          </cell>
          <cell r="C598">
            <v>65</v>
          </cell>
        </row>
        <row r="599">
          <cell r="B599" t="str">
            <v>Ramadan Solo Punjab Iftar</v>
          </cell>
          <cell r="C599">
            <v>96</v>
          </cell>
        </row>
        <row r="600">
          <cell r="B600" t="str">
            <v>Ramadan Solo Iftar</v>
          </cell>
          <cell r="C600">
            <v>95</v>
          </cell>
        </row>
        <row r="601">
          <cell r="B601" t="str">
            <v>Ramadan Solo Smoky Iftar</v>
          </cell>
          <cell r="C601">
            <v>94</v>
          </cell>
        </row>
        <row r="602">
          <cell r="B602" t="str">
            <v>Ramadan Solo Tandoori Iftar</v>
          </cell>
          <cell r="C602">
            <v>98</v>
          </cell>
        </row>
        <row r="603">
          <cell r="B603" t="str">
            <v>Ramadan Vegetarian Curry Iftar</v>
          </cell>
          <cell r="C603">
            <v>76</v>
          </cell>
        </row>
        <row r="604">
          <cell r="B604" t="str">
            <v>Ramadan Vegetarian Iftar</v>
          </cell>
          <cell r="C604">
            <v>78</v>
          </cell>
        </row>
        <row r="605">
          <cell r="B605" t="str">
            <v>Ramadan Vegetarian Punjab Iftar</v>
          </cell>
          <cell r="C605">
            <v>82</v>
          </cell>
        </row>
        <row r="606">
          <cell r="B606" t="str">
            <v>Ramadan Couple Tandoori Iftar</v>
          </cell>
          <cell r="C606">
            <v>165</v>
          </cell>
        </row>
        <row r="607">
          <cell r="B607" t="str">
            <v>Ramadan Couple Iftar</v>
          </cell>
          <cell r="C607">
            <v>155</v>
          </cell>
        </row>
        <row r="608">
          <cell r="B608" t="str">
            <v>Ramadan Family Tandoori Iftar</v>
          </cell>
          <cell r="C608">
            <v>255</v>
          </cell>
        </row>
        <row r="609">
          <cell r="B609" t="str">
            <v>Ramadan Premium Tandoori Iftar</v>
          </cell>
          <cell r="C609">
            <v>210</v>
          </cell>
        </row>
        <row r="610">
          <cell r="B610" t="str">
            <v>Ramadan Solo Curry Iftar</v>
          </cell>
          <cell r="C610">
            <v>92</v>
          </cell>
        </row>
        <row r="611">
          <cell r="B611" t="str">
            <v>Ramadan Vegetarian Smoky Iftar</v>
          </cell>
          <cell r="C611">
            <v>84</v>
          </cell>
        </row>
        <row r="612">
          <cell r="B612" t="str">
            <v>Ramadan Vegetarian Tandoori Iftar</v>
          </cell>
          <cell r="C612">
            <v>80</v>
          </cell>
        </row>
        <row r="613">
          <cell r="B613" t="str">
            <v>Ranchero Burrito</v>
          </cell>
          <cell r="C613">
            <v>58</v>
          </cell>
        </row>
        <row r="614">
          <cell r="B614" t="str">
            <v>Raw Bar Feast</v>
          </cell>
          <cell r="C614">
            <v>152</v>
          </cell>
        </row>
        <row r="615">
          <cell r="B615" t="str">
            <v>Raw Maple Syrup</v>
          </cell>
          <cell r="C615">
            <v>8</v>
          </cell>
        </row>
        <row r="616">
          <cell r="B616" t="str">
            <v>Red Ginger 65</v>
          </cell>
          <cell r="C616">
            <v>46</v>
          </cell>
        </row>
        <row r="617">
          <cell r="B617" t="str">
            <v>Reshmi Chicken Kebab</v>
          </cell>
          <cell r="C617">
            <v>51</v>
          </cell>
        </row>
        <row r="618">
          <cell r="B618" t="str">
            <v>Rice Bowl Set</v>
          </cell>
          <cell r="C618">
            <v>90</v>
          </cell>
        </row>
        <row r="619">
          <cell r="B619" t="str">
            <v>Rice Bowl Set</v>
          </cell>
          <cell r="C619">
            <v>90</v>
          </cell>
        </row>
        <row r="620">
          <cell r="B620" t="str">
            <v>Rice Bowl Set</v>
          </cell>
          <cell r="C620">
            <v>90</v>
          </cell>
        </row>
        <row r="621">
          <cell r="B621" t="str">
            <v>Salmon Crunch Salad</v>
          </cell>
          <cell r="C621">
            <v>45</v>
          </cell>
        </row>
        <row r="622">
          <cell r="B622" t="str">
            <v>Salmon Crunch Salad</v>
          </cell>
          <cell r="C622">
            <v>49</v>
          </cell>
        </row>
        <row r="623">
          <cell r="B623" t="str">
            <v>Salmon Hosomaki</v>
          </cell>
          <cell r="C623">
            <v>42</v>
          </cell>
        </row>
        <row r="624">
          <cell r="B624" t="str">
            <v>Salmon Nigiri</v>
          </cell>
          <cell r="C624">
            <v>34</v>
          </cell>
        </row>
        <row r="625">
          <cell r="B625" t="str">
            <v>Salmon Sashimi</v>
          </cell>
          <cell r="C625">
            <v>54</v>
          </cell>
        </row>
        <row r="626">
          <cell r="B626" t="str">
            <v>Salmon Super Bowl</v>
          </cell>
          <cell r="C626">
            <v>72</v>
          </cell>
        </row>
        <row r="627">
          <cell r="B627" t="str">
            <v>Salmon Superfood Bowl</v>
          </cell>
          <cell r="C627">
            <v>82</v>
          </cell>
        </row>
        <row r="628">
          <cell r="B628" t="str">
            <v>Salmon Crunch Salad</v>
          </cell>
          <cell r="C628">
            <v>50</v>
          </cell>
        </row>
        <row r="629">
          <cell r="B629" t="str">
            <v>Salmon Sashimi</v>
          </cell>
          <cell r="C629">
            <v>56</v>
          </cell>
        </row>
        <row r="630">
          <cell r="B630" t="str">
            <v>Salsa Verde Sauce</v>
          </cell>
          <cell r="C630">
            <v>8</v>
          </cell>
        </row>
        <row r="631">
          <cell r="B631" t="str">
            <v>Sashimi Set</v>
          </cell>
          <cell r="C631">
            <v>169</v>
          </cell>
        </row>
        <row r="632">
          <cell r="B632" t="str">
            <v>Schezwan Black Pepper Zest</v>
          </cell>
          <cell r="C632">
            <v>41</v>
          </cell>
        </row>
        <row r="633">
          <cell r="B633" t="str">
            <v>Scrambled Egg &amp; Soldiers</v>
          </cell>
          <cell r="C633">
            <v>42</v>
          </cell>
        </row>
        <row r="634">
          <cell r="B634" t="str">
            <v>Scrambled Eggs &amp; Soldiers</v>
          </cell>
          <cell r="C634">
            <v>35</v>
          </cell>
        </row>
        <row r="635">
          <cell r="B635" t="str">
            <v>Seasonal Fruit Cup</v>
          </cell>
          <cell r="C635">
            <v>28</v>
          </cell>
        </row>
        <row r="636">
          <cell r="B636" t="str">
            <v>Sesame &amp; Sweet Tenders</v>
          </cell>
          <cell r="C636">
            <v>52</v>
          </cell>
        </row>
        <row r="637">
          <cell r="B637" t="str">
            <v>Sesame &amp; Sweet Wings</v>
          </cell>
          <cell r="C637">
            <v>63</v>
          </cell>
        </row>
        <row r="638">
          <cell r="B638" t="str">
            <v>Shahi Paneer</v>
          </cell>
          <cell r="C638">
            <v>46</v>
          </cell>
        </row>
        <row r="639">
          <cell r="B639" t="str">
            <v>Shanghai-Style Kung Pao</v>
          </cell>
          <cell r="C639">
            <v>41</v>
          </cell>
        </row>
        <row r="640">
          <cell r="B640" t="str">
            <v>Shared Harmony (Date)</v>
          </cell>
          <cell r="C640">
            <v>197</v>
          </cell>
        </row>
        <row r="641">
          <cell r="B641" t="str">
            <v>Shin Ramen</v>
          </cell>
          <cell r="C641">
            <v>59</v>
          </cell>
        </row>
        <row r="642">
          <cell r="B642" t="str">
            <v>Shin Ramen</v>
          </cell>
          <cell r="C642">
            <v>59</v>
          </cell>
        </row>
        <row r="643">
          <cell r="B643" t="str">
            <v>Shrimp Bibimbap</v>
          </cell>
          <cell r="C643">
            <v>74</v>
          </cell>
        </row>
        <row r="644">
          <cell r="B644" t="str">
            <v>Shrimp Dynamite</v>
          </cell>
          <cell r="C644">
            <v>49</v>
          </cell>
        </row>
        <row r="645">
          <cell r="B645" t="str">
            <v>Shrimp Enchilada</v>
          </cell>
          <cell r="C645">
            <v>66</v>
          </cell>
        </row>
        <row r="646">
          <cell r="B646" t="str">
            <v>Shrimp Gyoza</v>
          </cell>
          <cell r="C646">
            <v>44</v>
          </cell>
        </row>
        <row r="647">
          <cell r="B647" t="str">
            <v>Shrimp Japchae</v>
          </cell>
          <cell r="C647">
            <v>72</v>
          </cell>
        </row>
        <row r="648">
          <cell r="B648" t="str">
            <v>Shrimp Soondubu Jjigae</v>
          </cell>
          <cell r="C648">
            <v>71</v>
          </cell>
        </row>
        <row r="649">
          <cell r="B649" t="str">
            <v>Shrimp Tacos</v>
          </cell>
          <cell r="C649">
            <v>64</v>
          </cell>
        </row>
        <row r="650">
          <cell r="B650" t="str">
            <v>Shrimp Yakisoba</v>
          </cell>
          <cell r="C650">
            <v>60</v>
          </cell>
        </row>
        <row r="651">
          <cell r="B651" t="str">
            <v>Shrimp Bibimbap</v>
          </cell>
          <cell r="C651">
            <v>74</v>
          </cell>
        </row>
        <row r="652">
          <cell r="B652" t="str">
            <v>Sichuan Black Pepper Aromatic Spice</v>
          </cell>
          <cell r="C652">
            <v>45</v>
          </cell>
        </row>
        <row r="653">
          <cell r="B653" t="str">
            <v>Sichuan Chilli Fish Spicy And Dry Fried</v>
          </cell>
          <cell r="C653">
            <v>51</v>
          </cell>
        </row>
        <row r="654">
          <cell r="B654" t="str">
            <v>Sichuan Fire Kung Pao Sauce, Spicy And Bold</v>
          </cell>
          <cell r="C654">
            <v>45</v>
          </cell>
        </row>
        <row r="655">
          <cell r="B655" t="str">
            <v>Sichuan Manchurian Gravy - Rich &amp; Spicy</v>
          </cell>
          <cell r="C655">
            <v>45</v>
          </cell>
        </row>
        <row r="656">
          <cell r="B656" t="str">
            <v>Sichuan Noodle Soup, Spicy Broth Bliss</v>
          </cell>
          <cell r="C656">
            <v>33</v>
          </cell>
        </row>
        <row r="657">
          <cell r="B657" t="str">
            <v>Sichuan Spiced Honey Chilli Potatoes</v>
          </cell>
          <cell r="C657">
            <v>38</v>
          </cell>
        </row>
        <row r="658">
          <cell r="B658" t="str">
            <v>Signature Flex</v>
          </cell>
          <cell r="C658">
            <v>199</v>
          </cell>
        </row>
        <row r="659">
          <cell r="B659" t="str">
            <v>Signature Combo</v>
          </cell>
          <cell r="C659">
            <v>99</v>
          </cell>
        </row>
        <row r="660">
          <cell r="B660" t="str">
            <v>Sigumchi Namul</v>
          </cell>
          <cell r="C660">
            <v>19</v>
          </cell>
        </row>
        <row r="661">
          <cell r="B661" t="str">
            <v>Sigumchi Namul</v>
          </cell>
          <cell r="C661">
            <v>19</v>
          </cell>
        </row>
        <row r="662">
          <cell r="B662" t="str">
            <v>Simple Comforts (Fast)</v>
          </cell>
          <cell r="C662">
            <v>121</v>
          </cell>
        </row>
        <row r="663">
          <cell r="B663" t="str">
            <v>Sister's Favorites (Premium)</v>
          </cell>
          <cell r="C663">
            <v>199</v>
          </cell>
        </row>
        <row r="664">
          <cell r="B664" t="str">
            <v>Sliced Avocado</v>
          </cell>
          <cell r="C664">
            <v>22</v>
          </cell>
        </row>
        <row r="665">
          <cell r="B665" t="str">
            <v>Sliced Avocados</v>
          </cell>
          <cell r="C665">
            <v>28</v>
          </cell>
        </row>
        <row r="666">
          <cell r="B666" t="str">
            <v>Smokey BBQ Tenders</v>
          </cell>
          <cell r="C666">
            <v>54</v>
          </cell>
        </row>
        <row r="667">
          <cell r="B667" t="str">
            <v>Smokey BBQ Wings</v>
          </cell>
          <cell r="C667">
            <v>62</v>
          </cell>
        </row>
        <row r="668">
          <cell r="B668" t="str">
            <v>Smoky Beef Burrito</v>
          </cell>
          <cell r="C668">
            <v>76</v>
          </cell>
        </row>
        <row r="669">
          <cell r="B669" t="str">
            <v>Smoky Beef Burrito Bowl</v>
          </cell>
          <cell r="C669">
            <v>76</v>
          </cell>
        </row>
        <row r="670">
          <cell r="B670" t="str">
            <v>Smoky Beef Chimichurri Burrito</v>
          </cell>
          <cell r="C670">
            <v>78</v>
          </cell>
        </row>
        <row r="671">
          <cell r="B671" t="str">
            <v>Smoky Beef Fajita Meal</v>
          </cell>
          <cell r="C671">
            <v>84</v>
          </cell>
        </row>
        <row r="672">
          <cell r="B672" t="str">
            <v>Smoky Beef Fajita Wrap</v>
          </cell>
          <cell r="C672">
            <v>76</v>
          </cell>
        </row>
        <row r="673">
          <cell r="B673" t="str">
            <v>Smoky Beef Ranchero Burrito</v>
          </cell>
          <cell r="C673">
            <v>76</v>
          </cell>
        </row>
        <row r="674">
          <cell r="B674" t="str">
            <v>Smoky Beef Taco Salad</v>
          </cell>
          <cell r="C674">
            <v>78</v>
          </cell>
        </row>
        <row r="675">
          <cell r="B675" t="str">
            <v>Smoky Beef and Cheese Quesadilla</v>
          </cell>
          <cell r="C675">
            <v>76</v>
          </cell>
        </row>
        <row r="676">
          <cell r="B676" t="str">
            <v>Smoky Chipotle Sauce</v>
          </cell>
          <cell r="C676">
            <v>8</v>
          </cell>
        </row>
        <row r="677">
          <cell r="B677" t="str">
            <v>Solo Chicken Set</v>
          </cell>
          <cell r="C677">
            <v>88</v>
          </cell>
        </row>
        <row r="678">
          <cell r="B678" t="str">
            <v>Soondubu Jjigae</v>
          </cell>
          <cell r="C678">
            <v>79</v>
          </cell>
        </row>
        <row r="679">
          <cell r="B679" t="str">
            <v>Soy and Garlic Chicken</v>
          </cell>
          <cell r="C679">
            <v>69</v>
          </cell>
        </row>
        <row r="680">
          <cell r="B680" t="str">
            <v>Soy and Garlic Wings</v>
          </cell>
          <cell r="C680">
            <v>69</v>
          </cell>
        </row>
        <row r="681">
          <cell r="B681" t="str">
            <v>Soya Chaap Angaari</v>
          </cell>
          <cell r="C681">
            <v>48</v>
          </cell>
        </row>
        <row r="682">
          <cell r="B682" t="str">
            <v>Soya Chaap Curry</v>
          </cell>
          <cell r="C682">
            <v>50</v>
          </cell>
        </row>
        <row r="683">
          <cell r="B683" t="str">
            <v>Soy and Garlic Chicken</v>
          </cell>
          <cell r="C683">
            <v>68</v>
          </cell>
        </row>
        <row r="684">
          <cell r="B684" t="str">
            <v>Soy and Garlic Wings</v>
          </cell>
          <cell r="C684">
            <v>72</v>
          </cell>
        </row>
        <row r="685">
          <cell r="B685" t="str">
            <v>Spanish Potato Omelet</v>
          </cell>
          <cell r="C685">
            <v>58</v>
          </cell>
        </row>
        <row r="686">
          <cell r="B686" t="str">
            <v>Spanish Potato Omelette</v>
          </cell>
          <cell r="C686">
            <v>78</v>
          </cell>
        </row>
        <row r="687">
          <cell r="B687" t="str">
            <v>Spiced Tomato Soup Sichuan Herbal Blend</v>
          </cell>
          <cell r="C687">
            <v>32</v>
          </cell>
        </row>
        <row r="688">
          <cell r="B688" t="str">
            <v>Spiced Veggie Burrito</v>
          </cell>
          <cell r="C688">
            <v>39</v>
          </cell>
        </row>
        <row r="689">
          <cell r="B689" t="str">
            <v>Spiced Veggie Chimichurri Burrito</v>
          </cell>
          <cell r="C689">
            <v>43</v>
          </cell>
        </row>
        <row r="690">
          <cell r="B690" t="str">
            <v>Spiced Veggie Fajita Meal</v>
          </cell>
          <cell r="C690">
            <v>52</v>
          </cell>
        </row>
        <row r="691">
          <cell r="B691" t="str">
            <v>Spiced Veggie Fajita Wrap</v>
          </cell>
          <cell r="C691">
            <v>41</v>
          </cell>
        </row>
        <row r="692">
          <cell r="B692" t="str">
            <v>Spiced Veggies and Cheese Quesadilla</v>
          </cell>
          <cell r="C692">
            <v>53</v>
          </cell>
        </row>
        <row r="693">
          <cell r="B693" t="str">
            <v>Spicy Chicken</v>
          </cell>
          <cell r="C693">
            <v>69</v>
          </cell>
        </row>
        <row r="694">
          <cell r="B694" t="str">
            <v>Spicy Edamame</v>
          </cell>
          <cell r="C694">
            <v>29</v>
          </cell>
        </row>
        <row r="695">
          <cell r="B695" t="str">
            <v>Spicy Fried Vegetables In Crispy Chili Sauce With Sesame</v>
          </cell>
          <cell r="C695">
            <v>38</v>
          </cell>
        </row>
        <row r="696">
          <cell r="B696" t="str">
            <v>Spicy Fries</v>
          </cell>
          <cell r="C696">
            <v>23</v>
          </cell>
        </row>
        <row r="697">
          <cell r="B697" t="str">
            <v>Spicy Green Sauce</v>
          </cell>
          <cell r="C697">
            <v>8</v>
          </cell>
        </row>
        <row r="698">
          <cell r="B698" t="str">
            <v>Spicy Hot And Sour Soup</v>
          </cell>
          <cell r="C698">
            <v>34</v>
          </cell>
        </row>
        <row r="699">
          <cell r="B699" t="str">
            <v>Spicy Kung Pao Sichuan Peppercorn Bliss</v>
          </cell>
          <cell r="C699">
            <v>41</v>
          </cell>
        </row>
        <row r="700">
          <cell r="B700" t="str">
            <v>Spicy Manchurian In Black Bean Sauce</v>
          </cell>
          <cell r="C700">
            <v>38</v>
          </cell>
        </row>
        <row r="701">
          <cell r="B701" t="str">
            <v>Spicy Mint Sauce</v>
          </cell>
          <cell r="C701">
            <v>8</v>
          </cell>
        </row>
        <row r="702">
          <cell r="B702" t="str">
            <v>Spicy Prawn Fajita Meal</v>
          </cell>
          <cell r="C702">
            <v>72</v>
          </cell>
        </row>
        <row r="703">
          <cell r="B703" t="str">
            <v>Spicy Salmon Roll</v>
          </cell>
          <cell r="C703">
            <v>54</v>
          </cell>
        </row>
        <row r="704">
          <cell r="B704" t="str">
            <v>Spicy Salmon Umami</v>
          </cell>
          <cell r="C704">
            <v>72</v>
          </cell>
        </row>
        <row r="705">
          <cell r="B705" t="str">
            <v>Spicy Shrimp Burrito</v>
          </cell>
          <cell r="C705">
            <v>66</v>
          </cell>
        </row>
        <row r="706">
          <cell r="B706" t="str">
            <v>Spicy Shrimp Chimichurri Burrito</v>
          </cell>
          <cell r="C706">
            <v>66</v>
          </cell>
        </row>
        <row r="707">
          <cell r="B707" t="str">
            <v>Spicy Shrimp Fajita Wrap</v>
          </cell>
          <cell r="C707">
            <v>64</v>
          </cell>
        </row>
        <row r="708">
          <cell r="B708" t="str">
            <v>Spicy Shrimp Tteokbokki</v>
          </cell>
          <cell r="C708">
            <v>79</v>
          </cell>
        </row>
        <row r="709">
          <cell r="B709" t="str">
            <v>Spicy Shrimp and Cheese Quesadilla</v>
          </cell>
          <cell r="C709">
            <v>66</v>
          </cell>
        </row>
        <row r="710">
          <cell r="B710" t="str">
            <v>Spicy Tuna Melt</v>
          </cell>
          <cell r="C710">
            <v>60</v>
          </cell>
        </row>
        <row r="711">
          <cell r="B711" t="str">
            <v>Spicy Tuna Melt Toast</v>
          </cell>
          <cell r="C711">
            <v>52</v>
          </cell>
        </row>
        <row r="712">
          <cell r="B712" t="str">
            <v>Spicy Tuna Roll</v>
          </cell>
          <cell r="C712">
            <v>63</v>
          </cell>
        </row>
        <row r="713">
          <cell r="B713" t="str">
            <v>Spicy Tuna Salad</v>
          </cell>
          <cell r="C713">
            <v>62</v>
          </cell>
        </row>
        <row r="714">
          <cell r="B714" t="str">
            <v>Spicy Tuna &amp; Mango</v>
          </cell>
          <cell r="C714">
            <v>79</v>
          </cell>
        </row>
        <row r="715">
          <cell r="B715" t="str">
            <v>Spicy Wings</v>
          </cell>
          <cell r="C715">
            <v>74</v>
          </cell>
        </row>
        <row r="716">
          <cell r="B716" t="str">
            <v>Spicy and tangy manchurian pieces</v>
          </cell>
          <cell r="C716">
            <v>42</v>
          </cell>
        </row>
        <row r="717">
          <cell r="B717" t="str">
            <v>Spicy Shrimp Tteokbokki</v>
          </cell>
          <cell r="C717">
            <v>79</v>
          </cell>
        </row>
        <row r="718">
          <cell r="B718" t="str">
            <v>Sprite</v>
          </cell>
          <cell r="C718">
            <v>9</v>
          </cell>
        </row>
        <row r="719">
          <cell r="B719" t="str">
            <v>Sprite 330 ml</v>
          </cell>
          <cell r="C719">
            <v>9</v>
          </cell>
        </row>
        <row r="720">
          <cell r="B720" t="str">
            <v>Sprite Can</v>
          </cell>
          <cell r="C720">
            <v>20</v>
          </cell>
        </row>
        <row r="721">
          <cell r="B721" t="str">
            <v>Sprite Zero</v>
          </cell>
          <cell r="C721">
            <v>10</v>
          </cell>
        </row>
        <row r="722">
          <cell r="B722" t="str">
            <v>Sprite Zero Can</v>
          </cell>
          <cell r="C722">
            <v>20</v>
          </cell>
        </row>
        <row r="723">
          <cell r="B723" t="str">
            <v>Sprite Zero</v>
          </cell>
          <cell r="C723">
            <v>10</v>
          </cell>
        </row>
        <row r="724">
          <cell r="B724" t="str">
            <v>Sriracha Chili Mayo</v>
          </cell>
          <cell r="C724">
            <v>8</v>
          </cell>
        </row>
        <row r="725">
          <cell r="B725" t="str">
            <v>Sriracha Mayo</v>
          </cell>
          <cell r="C725">
            <v>6</v>
          </cell>
        </row>
        <row r="726">
          <cell r="B726" t="str">
            <v>Sriracha Mayo Dip</v>
          </cell>
          <cell r="C726">
            <v>8</v>
          </cell>
        </row>
        <row r="727">
          <cell r="B727" t="str">
            <v>Sriracha Sauce</v>
          </cell>
          <cell r="C727">
            <v>8</v>
          </cell>
        </row>
        <row r="728">
          <cell r="B728" t="str">
            <v>Steak &amp; Egg</v>
          </cell>
          <cell r="C728">
            <v>88</v>
          </cell>
        </row>
        <row r="729">
          <cell r="B729" t="str">
            <v>Steak &amp; Eggs</v>
          </cell>
          <cell r="C729">
            <v>78</v>
          </cell>
        </row>
        <row r="730">
          <cell r="B730" t="str">
            <v>Steak Enchilada</v>
          </cell>
          <cell r="C730">
            <v>76</v>
          </cell>
        </row>
        <row r="731">
          <cell r="B731" t="str">
            <v>Steak and Eggs</v>
          </cell>
          <cell r="C731">
            <v>92</v>
          </cell>
        </row>
        <row r="732">
          <cell r="B732" t="str">
            <v>Steamed Chicken Mandu</v>
          </cell>
          <cell r="C732">
            <v>48</v>
          </cell>
        </row>
        <row r="733">
          <cell r="B733" t="str">
            <v>Steamed Rice</v>
          </cell>
          <cell r="C733">
            <v>19</v>
          </cell>
        </row>
        <row r="734">
          <cell r="B734" t="str">
            <v>Stir Fry Beef Rice</v>
          </cell>
          <cell r="C734">
            <v>76</v>
          </cell>
        </row>
        <row r="735">
          <cell r="B735" t="str">
            <v>Street Spiced Kung Pao</v>
          </cell>
          <cell r="C735">
            <v>41</v>
          </cell>
        </row>
        <row r="736">
          <cell r="B736" t="str">
            <v>Street Style Chili Gravy</v>
          </cell>
          <cell r="C736">
            <v>45</v>
          </cell>
        </row>
        <row r="737">
          <cell r="B737" t="str">
            <v>Street-Style Creamy Chicken Comfort</v>
          </cell>
          <cell r="C737">
            <v>42</v>
          </cell>
        </row>
        <row r="738">
          <cell r="B738" t="str">
            <v>Sweet And Spicy Honey Chili</v>
          </cell>
          <cell r="C738">
            <v>44</v>
          </cell>
        </row>
        <row r="739">
          <cell r="B739" t="str">
            <v>Szechuan hot and sour soup is tangy and spicy.</v>
          </cell>
          <cell r="C739">
            <v>33</v>
          </cell>
        </row>
        <row r="740">
          <cell r="B740" t="str">
            <v>TEST</v>
          </cell>
          <cell r="C740">
            <v>10</v>
          </cell>
        </row>
        <row r="741">
          <cell r="B741" t="str">
            <v>TEST PRODUCT</v>
          </cell>
          <cell r="C741">
            <v>10</v>
          </cell>
        </row>
        <row r="742">
          <cell r="B742" t="str">
            <v>Tandoori Cauliflower</v>
          </cell>
          <cell r="C742">
            <v>33</v>
          </cell>
        </row>
        <row r="743">
          <cell r="B743" t="str">
            <v>Tandoori Chicken (Full)</v>
          </cell>
          <cell r="C743">
            <v>89</v>
          </cell>
        </row>
        <row r="744">
          <cell r="B744" t="str">
            <v>Tandoori Chicken (Half)</v>
          </cell>
          <cell r="C744">
            <v>52</v>
          </cell>
        </row>
        <row r="745">
          <cell r="B745" t="str">
            <v>Tandoori Chicken Full</v>
          </cell>
          <cell r="C745">
            <v>108</v>
          </cell>
        </row>
        <row r="746">
          <cell r="B746" t="str">
            <v>Tandoori Chicken Half</v>
          </cell>
          <cell r="C746">
            <v>68</v>
          </cell>
        </row>
        <row r="747">
          <cell r="B747" t="str">
            <v>Tandoori Combo</v>
          </cell>
          <cell r="C747">
            <v>55</v>
          </cell>
        </row>
        <row r="748">
          <cell r="B748" t="str">
            <v>Tandoori Malai Chaap</v>
          </cell>
          <cell r="C748">
            <v>50</v>
          </cell>
        </row>
        <row r="749">
          <cell r="B749" t="str">
            <v>Tandoori Mushroom</v>
          </cell>
          <cell r="C749">
            <v>45</v>
          </cell>
        </row>
        <row r="750">
          <cell r="B750" t="str">
            <v>Tandoori Roti</v>
          </cell>
          <cell r="C750">
            <v>13</v>
          </cell>
        </row>
        <row r="751">
          <cell r="B751" t="str">
            <v>Tandoori Soya Chaap</v>
          </cell>
          <cell r="C751">
            <v>48</v>
          </cell>
        </row>
        <row r="752">
          <cell r="B752" t="str">
            <v>Tandoori Wings</v>
          </cell>
          <cell r="C752">
            <v>40</v>
          </cell>
        </row>
        <row r="753">
          <cell r="B753" t="str">
            <v>Tangdi Kabab - 2 Pcs</v>
          </cell>
          <cell r="C753">
            <v>48</v>
          </cell>
        </row>
        <row r="754">
          <cell r="B754" t="str">
            <v>Tangdi Kabab - 4 Pcs</v>
          </cell>
          <cell r="C754">
            <v>82</v>
          </cell>
        </row>
        <row r="755">
          <cell r="B755" t="str">
            <v>Tangdi Kabab - 6 Pcs</v>
          </cell>
          <cell r="C755">
            <v>108</v>
          </cell>
        </row>
        <row r="756">
          <cell r="B756" t="str">
            <v>Tangy Buffalo Tenders</v>
          </cell>
          <cell r="C756">
            <v>52</v>
          </cell>
        </row>
        <row r="757">
          <cell r="B757" t="str">
            <v>Tangy Buffalo Wings</v>
          </cell>
          <cell r="C757">
            <v>62</v>
          </cell>
        </row>
        <row r="758">
          <cell r="B758" t="str">
            <v>Tangy Jalapeno Sauce</v>
          </cell>
          <cell r="C758">
            <v>8</v>
          </cell>
        </row>
        <row r="759">
          <cell r="B759" t="str">
            <v>Tempura Roll</v>
          </cell>
          <cell r="C759">
            <v>47</v>
          </cell>
        </row>
        <row r="760">
          <cell r="B760" t="str">
            <v>Tex Mex Fries</v>
          </cell>
          <cell r="C760">
            <v>30</v>
          </cell>
        </row>
        <row r="761">
          <cell r="B761" t="str">
            <v>Texas Beef Burger</v>
          </cell>
          <cell r="C761">
            <v>73</v>
          </cell>
        </row>
        <row r="762">
          <cell r="B762" t="str">
            <v>Texas Beef Sliders</v>
          </cell>
          <cell r="C762">
            <v>71</v>
          </cell>
        </row>
        <row r="763">
          <cell r="B763" t="str">
            <v>The "Fairfax" Egg Bun</v>
          </cell>
          <cell r="C763">
            <v>55</v>
          </cell>
        </row>
        <row r="764">
          <cell r="B764" t="str">
            <v>The After Hours</v>
          </cell>
          <cell r="C764">
            <v>399</v>
          </cell>
        </row>
        <row r="765">
          <cell r="B765" t="str">
            <v>The Artisan's Palette (Raw)</v>
          </cell>
          <cell r="C765">
            <v>149</v>
          </cell>
        </row>
        <row r="766">
          <cell r="B766" t="str">
            <v>The Avocado &amp; Egg Bagel</v>
          </cell>
          <cell r="C766">
            <v>52</v>
          </cell>
        </row>
        <row r="767">
          <cell r="B767" t="str">
            <v>The B.E.C Bagel</v>
          </cell>
          <cell r="C767">
            <v>60</v>
          </cell>
        </row>
        <row r="768">
          <cell r="B768" t="str">
            <v>The B.E.C. Bagel</v>
          </cell>
          <cell r="C768">
            <v>52</v>
          </cell>
        </row>
        <row r="769">
          <cell r="B769" t="str">
            <v>The BEC Bagel</v>
          </cell>
          <cell r="C769">
            <v>72</v>
          </cell>
        </row>
        <row r="770">
          <cell r="B770" t="str">
            <v>The Banana Split Oats</v>
          </cell>
          <cell r="C770">
            <v>45</v>
          </cell>
        </row>
        <row r="771">
          <cell r="B771" t="str">
            <v>The Berry Blast</v>
          </cell>
          <cell r="C771">
            <v>62</v>
          </cell>
        </row>
        <row r="772">
          <cell r="B772" t="str">
            <v>The Berry Blast A¯Â¿Â½a¯Â¿Â½ Bowl</v>
          </cell>
          <cell r="C772">
            <v>62</v>
          </cell>
        </row>
        <row r="773">
          <cell r="B773" t="str">
            <v>The Breakfast Bao Trio</v>
          </cell>
          <cell r="C773">
            <v>52</v>
          </cell>
        </row>
        <row r="774">
          <cell r="B774" t="str">
            <v>The Breakfast Tacos (3 Pcs)</v>
          </cell>
          <cell r="C774">
            <v>48</v>
          </cell>
        </row>
        <row r="775">
          <cell r="B775" t="str">
            <v>The Classic French Toast</v>
          </cell>
          <cell r="C775">
            <v>65</v>
          </cell>
        </row>
        <row r="776">
          <cell r="B776" t="str">
            <v>The Classic ¯Â¿Â½a¯Â¿Â½ Bowl</v>
          </cell>
          <cell r="C776">
            <v>58</v>
          </cell>
        </row>
        <row r="777">
          <cell r="B777" t="str">
            <v>The Crispy Beef Bacon</v>
          </cell>
          <cell r="C777">
            <v>28</v>
          </cell>
        </row>
        <row r="778">
          <cell r="B778" t="str">
            <v>The Crispy Chicken Morning Bao</v>
          </cell>
          <cell r="C778">
            <v>52</v>
          </cell>
        </row>
        <row r="779">
          <cell r="B779" t="str">
            <v>The Crowd Pleaser</v>
          </cell>
          <cell r="C779">
            <v>350</v>
          </cell>
        </row>
        <row r="780">
          <cell r="B780" t="str">
            <v>The Daily Ritual</v>
          </cell>
          <cell r="C780">
            <v>92</v>
          </cell>
        </row>
        <row r="781">
          <cell r="B781" t="str">
            <v>The Egg White (Fit)</v>
          </cell>
          <cell r="C781">
            <v>65</v>
          </cell>
        </row>
        <row r="782">
          <cell r="B782" t="str">
            <v>The Egg Whites (Fit)</v>
          </cell>
          <cell r="C782">
            <v>52</v>
          </cell>
        </row>
        <row r="783">
          <cell r="B783" t="str">
            <v>The Family Gathering (Party)</v>
          </cell>
          <cell r="C783">
            <v>350</v>
          </cell>
        </row>
        <row r="784">
          <cell r="B784" t="str">
            <v>The Full American Breakfast</v>
          </cell>
          <cell r="C784">
            <v>68</v>
          </cell>
        </row>
        <row r="785">
          <cell r="B785" t="str">
            <v>The Full American Plate</v>
          </cell>
          <cell r="C785">
            <v>72</v>
          </cell>
        </row>
        <row r="786">
          <cell r="B786" t="str">
            <v>The Grilled Chicken Protein Bowl</v>
          </cell>
          <cell r="C786">
            <v>88</v>
          </cell>
        </row>
        <row r="787">
          <cell r="B787" t="str">
            <v>The Grilled Halloumi</v>
          </cell>
          <cell r="C787">
            <v>30</v>
          </cell>
        </row>
        <row r="788">
          <cell r="B788" t="str">
            <v>The Halloumi Bagel</v>
          </cell>
          <cell r="C788">
            <v>62</v>
          </cell>
        </row>
        <row r="789">
          <cell r="B789" t="str">
            <v>The Levantine Shakshuka</v>
          </cell>
          <cell r="C789">
            <v>82</v>
          </cell>
        </row>
        <row r="790">
          <cell r="B790" t="str">
            <v>The Lotus Biscoff Pancakes</v>
          </cell>
          <cell r="C790">
            <v>52</v>
          </cell>
        </row>
        <row r="791">
          <cell r="B791" t="str">
            <v>The Lox &amp; Cream Cheese</v>
          </cell>
          <cell r="C791">
            <v>88</v>
          </cell>
        </row>
        <row r="792">
          <cell r="B792" t="str">
            <v>The Mediterranean Zaatar Toast</v>
          </cell>
          <cell r="C792">
            <v>46</v>
          </cell>
        </row>
        <row r="793">
          <cell r="B793" t="str">
            <v>The Mexican Omelet</v>
          </cell>
          <cell r="C793">
            <v>56</v>
          </cell>
        </row>
        <row r="794">
          <cell r="B794" t="str">
            <v>The Middle Eastern Breakfast Bowl</v>
          </cell>
          <cell r="C794">
            <v>82</v>
          </cell>
        </row>
        <row r="795">
          <cell r="B795" t="str">
            <v>The Mini Bagel &amp; Cream Cheese</v>
          </cell>
          <cell r="C795">
            <v>28</v>
          </cell>
        </row>
        <row r="796">
          <cell r="B796" t="str">
            <v>The Morning Burger</v>
          </cell>
          <cell r="C796">
            <v>68</v>
          </cell>
        </row>
        <row r="797">
          <cell r="B797" t="str">
            <v>The Original</v>
          </cell>
          <cell r="C797">
            <v>44</v>
          </cell>
        </row>
        <row r="798">
          <cell r="B798" t="str">
            <v>The Party Starter</v>
          </cell>
          <cell r="C798">
            <v>450</v>
          </cell>
        </row>
        <row r="799">
          <cell r="B799" t="str">
            <v>The Peanut Butter A¯Â¿Â½a¯Â¿Â½ Bowl</v>
          </cell>
          <cell r="C799">
            <v>62</v>
          </cell>
        </row>
        <row r="800">
          <cell r="B800" t="str">
            <v>The Power Feed</v>
          </cell>
          <cell r="C800">
            <v>121</v>
          </cell>
        </row>
        <row r="801">
          <cell r="B801" t="str">
            <v>The Protein A¯Â¿Â½a¯Â¿Â½ Bowl</v>
          </cell>
          <cell r="C801">
            <v>68</v>
          </cell>
        </row>
        <row r="802">
          <cell r="B802" t="str">
            <v>The Protein Power Bowl</v>
          </cell>
          <cell r="C802">
            <v>85</v>
          </cell>
        </row>
        <row r="803">
          <cell r="B803" t="str">
            <v>The Ranchero Burrito</v>
          </cell>
          <cell r="C803">
            <v>65</v>
          </cell>
        </row>
        <row r="804">
          <cell r="B804" t="str">
            <v>The Rendezvous</v>
          </cell>
          <cell r="C804">
            <v>110</v>
          </cell>
        </row>
        <row r="805">
          <cell r="B805" t="str">
            <v>The Salmon Super Bowl</v>
          </cell>
          <cell r="C805">
            <v>88</v>
          </cell>
        </row>
        <row r="806">
          <cell r="B806" t="str">
            <v>The Sashimi Standard</v>
          </cell>
          <cell r="C806">
            <v>112</v>
          </cell>
        </row>
        <row r="807">
          <cell r="B807" t="str">
            <v>The Smoked Salmon Toast</v>
          </cell>
          <cell r="C807">
            <v>88</v>
          </cell>
        </row>
        <row r="808">
          <cell r="B808" t="str">
            <v>The Smoked Salmon Toast</v>
          </cell>
          <cell r="C808">
            <v>72</v>
          </cell>
        </row>
        <row r="809">
          <cell r="B809" t="str">
            <v>The Smoked Salmon Toasts</v>
          </cell>
          <cell r="C809">
            <v>72</v>
          </cell>
        </row>
        <row r="810">
          <cell r="B810" t="str">
            <v>The Socialite</v>
          </cell>
          <cell r="C810">
            <v>142</v>
          </cell>
        </row>
        <row r="811">
          <cell r="B811" t="str">
            <v>The Solo Edit</v>
          </cell>
          <cell r="C811">
            <v>87</v>
          </cell>
        </row>
        <row r="812">
          <cell r="B812" t="str">
            <v>The Solo Play</v>
          </cell>
          <cell r="C812">
            <v>111</v>
          </cell>
        </row>
        <row r="813">
          <cell r="B813" t="str">
            <v>The Spanish Potato Omelet</v>
          </cell>
          <cell r="C813">
            <v>64</v>
          </cell>
        </row>
        <row r="814">
          <cell r="B814" t="str">
            <v>The Spicy Tuna Melt</v>
          </cell>
          <cell r="C814">
            <v>85</v>
          </cell>
        </row>
        <row r="815">
          <cell r="B815" t="str">
            <v>The Three Cheese Fold</v>
          </cell>
          <cell r="C815">
            <v>54</v>
          </cell>
        </row>
        <row r="816">
          <cell r="B816" t="str">
            <v>The Tropical Sunrise</v>
          </cell>
          <cell r="C816">
            <v>60</v>
          </cell>
        </row>
        <row r="817">
          <cell r="B817" t="str">
            <v>The Truffle Mushroom Scramble</v>
          </cell>
          <cell r="C817">
            <v>58</v>
          </cell>
        </row>
        <row r="818">
          <cell r="B818" t="str">
            <v>The Turkish Eggs (Cilbir)</v>
          </cell>
          <cell r="C818">
            <v>68</v>
          </cell>
        </row>
        <row r="819">
          <cell r="B819" t="str">
            <v>The Warm Welcome (Crowd)</v>
          </cell>
          <cell r="C819">
            <v>450</v>
          </cell>
        </row>
        <row r="820">
          <cell r="B820" t="str">
            <v>The All-Star</v>
          </cell>
          <cell r="C820">
            <v>72</v>
          </cell>
        </row>
        <row r="821">
          <cell r="B821" t="str">
            <v>The Classic Salmon</v>
          </cell>
          <cell r="C821">
            <v>68</v>
          </cell>
        </row>
        <row r="822">
          <cell r="B822" t="str">
            <v>The Classic Salmon</v>
          </cell>
          <cell r="C822">
            <v>69</v>
          </cell>
        </row>
        <row r="823">
          <cell r="B823" t="str">
            <v>The Grand Tuna</v>
          </cell>
          <cell r="C823">
            <v>78</v>
          </cell>
        </row>
        <row r="824">
          <cell r="B824" t="str">
            <v>The Veggie Bliss</v>
          </cell>
          <cell r="C824">
            <v>54</v>
          </cell>
        </row>
        <row r="825">
          <cell r="B825" t="str">
            <v>Three Cheese Fold</v>
          </cell>
          <cell r="C825">
            <v>56</v>
          </cell>
        </row>
        <row r="826">
          <cell r="B826" t="str">
            <v>Three-Cheese Fold</v>
          </cell>
          <cell r="C826">
            <v>72</v>
          </cell>
        </row>
        <row r="827">
          <cell r="B827" t="str">
            <v>Tofu Bibimbap</v>
          </cell>
          <cell r="C827">
            <v>64</v>
          </cell>
        </row>
        <row r="828">
          <cell r="B828" t="str">
            <v>Tom Yum Soup</v>
          </cell>
          <cell r="C828">
            <v>38</v>
          </cell>
        </row>
        <row r="829">
          <cell r="B829" t="str">
            <v>Tom Yum Udon Soup</v>
          </cell>
          <cell r="C829">
            <v>53</v>
          </cell>
        </row>
        <row r="830">
          <cell r="B830" t="str">
            <v>Tom Yum Soup</v>
          </cell>
          <cell r="C830">
            <v>38</v>
          </cell>
        </row>
        <row r="831">
          <cell r="B831" t="str">
            <v>Tomato Ketchup</v>
          </cell>
          <cell r="C831">
            <v>8</v>
          </cell>
        </row>
        <row r="832">
          <cell r="B832" t="str">
            <v>Tom Yum Soup</v>
          </cell>
          <cell r="C832">
            <v>37</v>
          </cell>
        </row>
        <row r="833">
          <cell r="B833" t="str">
            <v>Tom Yum Udon Soup</v>
          </cell>
          <cell r="C833">
            <v>53</v>
          </cell>
        </row>
        <row r="834">
          <cell r="B834" t="str">
            <v>Triple Cheese Fold</v>
          </cell>
          <cell r="C834">
            <v>62</v>
          </cell>
        </row>
        <row r="835">
          <cell r="B835" t="str">
            <v>Triple Crunch Prawn Roll</v>
          </cell>
          <cell r="C835">
            <v>64</v>
          </cell>
        </row>
        <row r="836">
          <cell r="B836" t="str">
            <v>Tropical Acai Bowl</v>
          </cell>
          <cell r="C836">
            <v>75</v>
          </cell>
        </row>
        <row r="837">
          <cell r="B837" t="str">
            <v>Tropical Acai Bowl</v>
          </cell>
          <cell r="C837">
            <v>58</v>
          </cell>
        </row>
        <row r="838">
          <cell r="B838" t="str">
            <v>Tropical A¯Â¿Â½a¯Â¿Â½ Power Bowl</v>
          </cell>
          <cell r="C838">
            <v>62</v>
          </cell>
        </row>
        <row r="839">
          <cell r="B839" t="str">
            <v>Tropical Berry</v>
          </cell>
          <cell r="C839">
            <v>48</v>
          </cell>
        </row>
        <row r="840">
          <cell r="B840" t="str">
            <v>Tropical Berry Oats</v>
          </cell>
          <cell r="C840">
            <v>58</v>
          </cell>
        </row>
        <row r="841">
          <cell r="B841" t="str">
            <v>Tropical Sunrise</v>
          </cell>
          <cell r="C841">
            <v>50</v>
          </cell>
        </row>
        <row r="842">
          <cell r="B842" t="str">
            <v>Truffle Aioli</v>
          </cell>
          <cell r="C842">
            <v>10</v>
          </cell>
        </row>
        <row r="843">
          <cell r="B843" t="str">
            <v>Truffle Mayo</v>
          </cell>
          <cell r="C843">
            <v>8</v>
          </cell>
        </row>
        <row r="844">
          <cell r="B844" t="str">
            <v>Truffle Mayo Dip</v>
          </cell>
          <cell r="C844">
            <v>8</v>
          </cell>
        </row>
        <row r="845">
          <cell r="B845" t="str">
            <v>Truffle Mushroom Scramble</v>
          </cell>
          <cell r="C845">
            <v>64</v>
          </cell>
        </row>
        <row r="846">
          <cell r="B846" t="str">
            <v>Truffle Mushrooms Scramble</v>
          </cell>
          <cell r="C846">
            <v>78</v>
          </cell>
        </row>
        <row r="847">
          <cell r="B847" t="str">
            <v>Truffled Mayo</v>
          </cell>
          <cell r="C847">
            <v>10</v>
          </cell>
        </row>
        <row r="848">
          <cell r="B848" t="str">
            <v>Truffled Mushroom Scramble</v>
          </cell>
          <cell r="C848">
            <v>68</v>
          </cell>
        </row>
        <row r="849">
          <cell r="B849" t="str">
            <v>Tteokbokki with Cheese</v>
          </cell>
          <cell r="C849">
            <v>84</v>
          </cell>
        </row>
        <row r="850">
          <cell r="B850" t="str">
            <v>Tuna Hosomaki</v>
          </cell>
          <cell r="C850">
            <v>50</v>
          </cell>
        </row>
        <row r="851">
          <cell r="B851" t="str">
            <v>Tuna Kimbap</v>
          </cell>
          <cell r="C851">
            <v>54</v>
          </cell>
        </row>
        <row r="852">
          <cell r="B852" t="str">
            <v>Tuna Nigiri</v>
          </cell>
          <cell r="C852">
            <v>40</v>
          </cell>
        </row>
        <row r="853">
          <cell r="B853" t="str">
            <v>Tuna Sashimi</v>
          </cell>
          <cell r="C853">
            <v>66</v>
          </cell>
        </row>
        <row r="854">
          <cell r="B854" t="str">
            <v>Tuna Kimbap</v>
          </cell>
          <cell r="C854">
            <v>54</v>
          </cell>
        </row>
        <row r="855">
          <cell r="B855" t="str">
            <v>Tuna Sashimi</v>
          </cell>
          <cell r="C855">
            <v>64</v>
          </cell>
        </row>
        <row r="856">
          <cell r="B856" t="str">
            <v>Turkish Egg (Cilbir)</v>
          </cell>
          <cell r="C856">
            <v>75</v>
          </cell>
        </row>
        <row r="857">
          <cell r="B857" t="str">
            <v>Turkish Eggs (Cilbir)</v>
          </cell>
          <cell r="C857">
            <v>62</v>
          </cell>
        </row>
        <row r="858">
          <cell r="B858" t="str">
            <v>Turkish Style Eggs (Cilbir)</v>
          </cell>
          <cell r="C858">
            <v>55</v>
          </cell>
        </row>
        <row r="859">
          <cell r="B859" t="str">
            <v>Udon</v>
          </cell>
          <cell r="C859">
            <v>59</v>
          </cell>
        </row>
        <row r="860">
          <cell r="B860" t="str">
            <v>Urban Cream Of Tomato Broth</v>
          </cell>
          <cell r="C860">
            <v>32</v>
          </cell>
        </row>
        <row r="861">
          <cell r="B861" t="str">
            <v>Urban Tomato Tang Broth</v>
          </cell>
          <cell r="C861">
            <v>32</v>
          </cell>
        </row>
        <row r="862">
          <cell r="B862" t="str">
            <v>Vanilla Classic Oats</v>
          </cell>
          <cell r="C862">
            <v>42</v>
          </cell>
        </row>
        <row r="863">
          <cell r="B863" t="str">
            <v>Veg Bibimbap</v>
          </cell>
          <cell r="C863">
            <v>59</v>
          </cell>
        </row>
        <row r="864">
          <cell r="B864" t="str">
            <v>Veg Burrito Bowl</v>
          </cell>
          <cell r="C864">
            <v>34</v>
          </cell>
        </row>
        <row r="865">
          <cell r="B865" t="str">
            <v>Veg Complete Meal</v>
          </cell>
          <cell r="C865">
            <v>92</v>
          </cell>
        </row>
        <row r="866">
          <cell r="B866" t="str">
            <v>Veg Feast</v>
          </cell>
          <cell r="C866">
            <v>90</v>
          </cell>
        </row>
        <row r="867">
          <cell r="B867" t="str">
            <v>Veg Fiesta Enchilada</v>
          </cell>
          <cell r="C867">
            <v>41</v>
          </cell>
        </row>
        <row r="868">
          <cell r="B868" t="str">
            <v>Veg Pulao</v>
          </cell>
          <cell r="C868">
            <v>26</v>
          </cell>
        </row>
        <row r="869">
          <cell r="B869" t="str">
            <v>Veg Raita</v>
          </cell>
          <cell r="C869">
            <v>17</v>
          </cell>
        </row>
        <row r="870">
          <cell r="B870" t="str">
            <v>Veg Ranchero Burrito</v>
          </cell>
          <cell r="C870">
            <v>41</v>
          </cell>
        </row>
        <row r="871">
          <cell r="B871" t="str">
            <v>Veg Taco Salad</v>
          </cell>
          <cell r="C871">
            <v>46</v>
          </cell>
        </row>
        <row r="872">
          <cell r="B872" t="str">
            <v>Vegetable Yakisoba</v>
          </cell>
          <cell r="C872">
            <v>49</v>
          </cell>
        </row>
        <row r="873">
          <cell r="B873" t="str">
            <v>Veggie Sticks</v>
          </cell>
          <cell r="C873">
            <v>19</v>
          </cell>
        </row>
        <row r="874">
          <cell r="B874" t="str">
            <v>Veggie Tacos</v>
          </cell>
          <cell r="C874">
            <v>44</v>
          </cell>
        </row>
        <row r="875">
          <cell r="B875" t="str">
            <v>Veg Bibimbap</v>
          </cell>
          <cell r="C875">
            <v>59</v>
          </cell>
        </row>
        <row r="876">
          <cell r="B876" t="str">
            <v>Velvety Mushroom Street Soup</v>
          </cell>
          <cell r="C876">
            <v>34</v>
          </cell>
        </row>
        <row r="877">
          <cell r="B877" t="str">
            <v>Warm Maple Syrup</v>
          </cell>
          <cell r="C877">
            <v>8</v>
          </cell>
        </row>
        <row r="878">
          <cell r="B878" t="str">
            <v>Warm Nutella Toast</v>
          </cell>
          <cell r="C878">
            <v>28</v>
          </cell>
        </row>
        <row r="879">
          <cell r="B879" t="str">
            <v>Wings Meal</v>
          </cell>
          <cell r="C879">
            <v>78</v>
          </cell>
        </row>
        <row r="880">
          <cell r="B880" t="str">
            <v>Wings Meal for 2</v>
          </cell>
          <cell r="C880">
            <v>132</v>
          </cell>
        </row>
        <row r="881">
          <cell r="B881" t="str">
            <v>Wings Meal for 4</v>
          </cell>
          <cell r="C881">
            <v>196</v>
          </cell>
        </row>
        <row r="882">
          <cell r="B882" t="str">
            <v>Wok Fired Mongolian</v>
          </cell>
          <cell r="C882">
            <v>45</v>
          </cell>
        </row>
        <row r="883">
          <cell r="B883" t="str">
            <v>Wok Fired Street Noodles</v>
          </cell>
          <cell r="C883">
            <v>44</v>
          </cell>
        </row>
        <row r="884">
          <cell r="B884" t="str">
            <v>Wok Fried Black Pepper</v>
          </cell>
          <cell r="C884">
            <v>45</v>
          </cell>
        </row>
        <row r="885">
          <cell r="B885" t="str">
            <v>Wok Fried Black Pepper Sauce</v>
          </cell>
          <cell r="C885">
            <v>44</v>
          </cell>
        </row>
        <row r="886">
          <cell r="B886" t="str">
            <v>Wok Fried Kung Pao With Peanuts</v>
          </cell>
          <cell r="C886">
            <v>41</v>
          </cell>
        </row>
        <row r="887">
          <cell r="B887" t="str">
            <v>Wok Fried Manchurian</v>
          </cell>
          <cell r="C887">
            <v>45</v>
          </cell>
        </row>
        <row r="888">
          <cell r="B888" t="str">
            <v>Wok Fried Manchurian Chicken Or Shrimp</v>
          </cell>
          <cell r="C888">
            <v>48</v>
          </cell>
        </row>
        <row r="889">
          <cell r="B889" t="str">
            <v>Wok Fried Mongolian Veggies</v>
          </cell>
          <cell r="C889">
            <v>41</v>
          </cell>
        </row>
        <row r="890">
          <cell r="B890" t="str">
            <v>Wok Fried Oyster Chili</v>
          </cell>
          <cell r="C890">
            <v>45</v>
          </cell>
        </row>
        <row r="891">
          <cell r="B891" t="str">
            <v>Wok Fried Oyster Chilli</v>
          </cell>
          <cell r="C891">
            <v>45</v>
          </cell>
        </row>
        <row r="892">
          <cell r="B892" t="str">
            <v>Wok Seared Kung Pao</v>
          </cell>
          <cell r="C892">
            <v>44</v>
          </cell>
        </row>
        <row r="893">
          <cell r="B893" t="str">
            <v>Wok Tossed Fish Chilli Hot And Crispy</v>
          </cell>
          <cell r="C893">
            <v>54</v>
          </cell>
        </row>
        <row r="894">
          <cell r="B894" t="str">
            <v>Wok Tossed Fried Rice</v>
          </cell>
          <cell r="C894">
            <v>41</v>
          </cell>
        </row>
        <row r="895">
          <cell r="B895" t="str">
            <v>Wok Tossed Hot and Sour Soup</v>
          </cell>
          <cell r="C895">
            <v>33</v>
          </cell>
        </row>
        <row r="896">
          <cell r="B896" t="str">
            <v>Wok-Street Lollipop Chicken Blast</v>
          </cell>
          <cell r="C896">
            <v>44</v>
          </cell>
        </row>
        <row r="897">
          <cell r="B897" t="str">
            <v>Wok-Street Noodle Broth</v>
          </cell>
          <cell r="C897">
            <v>34</v>
          </cell>
        </row>
        <row r="898">
          <cell r="B898" t="str">
            <v>Wok-Tossed Chilli Veg In Hot Pepper Sauce</v>
          </cell>
          <cell r="C898">
            <v>41</v>
          </cell>
        </row>
        <row r="899">
          <cell r="B899" t="str">
            <v>Yangnyeom Chicken</v>
          </cell>
          <cell r="C899">
            <v>69</v>
          </cell>
        </row>
        <row r="900">
          <cell r="B900" t="str">
            <v>Yangnyeom Wings</v>
          </cell>
          <cell r="C900">
            <v>74</v>
          </cell>
        </row>
        <row r="901">
          <cell r="B901" t="str">
            <v>Yukgaejang</v>
          </cell>
          <cell r="C901">
            <v>76</v>
          </cell>
        </row>
        <row r="902">
          <cell r="B902" t="str">
            <v>2 Eggs</v>
          </cell>
          <cell r="C902">
            <v>0</v>
          </cell>
        </row>
        <row r="903">
          <cell r="B903" t="str">
            <v>3 Eggs</v>
          </cell>
          <cell r="C903">
            <v>0</v>
          </cell>
        </row>
        <row r="904">
          <cell r="B904" t="str">
            <v>Add Spiced Ground Beef</v>
          </cell>
          <cell r="C904">
            <v>0</v>
          </cell>
        </row>
        <row r="905">
          <cell r="B905" t="str">
            <v>Add Spiced Ground Lamb</v>
          </cell>
          <cell r="C905">
            <v>0</v>
          </cell>
        </row>
        <row r="906">
          <cell r="B906" t="str">
            <v>Add Two Tenders</v>
          </cell>
          <cell r="C906">
            <v>20</v>
          </cell>
        </row>
        <row r="907">
          <cell r="B907" t="str">
            <v>Add Two Wings</v>
          </cell>
          <cell r="C907">
            <v>20</v>
          </cell>
        </row>
        <row r="908">
          <cell r="B908" t="str">
            <v>Ajwaini Chicken Tikka</v>
          </cell>
          <cell r="C908">
            <v>49</v>
          </cell>
        </row>
        <row r="909">
          <cell r="B909" t="str">
            <v>Almond Milk</v>
          </cell>
          <cell r="C909">
            <v>0</v>
          </cell>
        </row>
        <row r="910">
          <cell r="B910" t="str">
            <v>Aloo Gobi</v>
          </cell>
          <cell r="C910">
            <v>24</v>
          </cell>
        </row>
        <row r="911">
          <cell r="B911" t="str">
            <v>Asian Chicken Wrap</v>
          </cell>
          <cell r="C911">
            <v>1</v>
          </cell>
        </row>
        <row r="912">
          <cell r="B912" t="str">
            <v>Asian Ranch Burger</v>
          </cell>
          <cell r="C912">
            <v>0</v>
          </cell>
        </row>
        <row r="913">
          <cell r="B913" t="str">
            <v>Asian Ranch Sliders</v>
          </cell>
          <cell r="C913">
            <v>0</v>
          </cell>
        </row>
        <row r="914">
          <cell r="B914" t="str">
            <v>Avocado Falafel Slider</v>
          </cell>
          <cell r="C914">
            <v>3</v>
          </cell>
        </row>
        <row r="915">
          <cell r="B915" t="str">
            <v>Avocado Grilled Halloumi Slider</v>
          </cell>
          <cell r="C915">
            <v>3</v>
          </cell>
        </row>
        <row r="916">
          <cell r="B916" t="str">
            <v>Avocado Hosomaki</v>
          </cell>
          <cell r="C916">
            <v>0</v>
          </cell>
        </row>
        <row r="917">
          <cell r="B917" t="str">
            <v>Avocado and Chicken Burrito</v>
          </cell>
          <cell r="C917">
            <v>5</v>
          </cell>
        </row>
        <row r="918">
          <cell r="B918" t="str">
            <v>BBQ Chicken Wrap</v>
          </cell>
          <cell r="C918">
            <v>2</v>
          </cell>
        </row>
        <row r="919">
          <cell r="B919" t="str">
            <v>BBQ Crispy Beef Burger</v>
          </cell>
          <cell r="C919">
            <v>0</v>
          </cell>
        </row>
        <row r="920">
          <cell r="B920" t="str">
            <v>BBQ Crispy Beef Sliders</v>
          </cell>
          <cell r="C920">
            <v>0</v>
          </cell>
        </row>
        <row r="921">
          <cell r="B921" t="str">
            <v>BBQ Falafel Slider</v>
          </cell>
          <cell r="C921">
            <v>3</v>
          </cell>
        </row>
        <row r="922">
          <cell r="B922" t="str">
            <v>BBQ Grilled Halloumi Slider</v>
          </cell>
          <cell r="C922">
            <v>3</v>
          </cell>
        </row>
        <row r="923">
          <cell r="B923" t="str">
            <v>Bacon (Beef) Burger</v>
          </cell>
          <cell r="C923">
            <v>0</v>
          </cell>
        </row>
        <row r="924">
          <cell r="B924" t="str">
            <v>Bacon (Beef) Sliders</v>
          </cell>
          <cell r="C924">
            <v>0</v>
          </cell>
        </row>
        <row r="925">
          <cell r="B925" t="str">
            <v>Bacon Beef Burger</v>
          </cell>
          <cell r="C925">
            <v>0</v>
          </cell>
        </row>
        <row r="926">
          <cell r="B926" t="str">
            <v>Bacon Beef Sliders</v>
          </cell>
          <cell r="C926">
            <v>0</v>
          </cell>
        </row>
        <row r="927">
          <cell r="B927" t="str">
            <v>Banjara Chicken</v>
          </cell>
          <cell r="C927">
            <v>50</v>
          </cell>
        </row>
        <row r="928">
          <cell r="B928" t="str">
            <v>Beef</v>
          </cell>
          <cell r="C928">
            <v>8</v>
          </cell>
        </row>
        <row r="929">
          <cell r="B929" t="str">
            <v>Beef Bacon</v>
          </cell>
          <cell r="C929">
            <v>0</v>
          </cell>
        </row>
        <row r="930">
          <cell r="B930" t="str">
            <v>Beef Bibimbap</v>
          </cell>
          <cell r="C930">
            <v>6</v>
          </cell>
        </row>
        <row r="931">
          <cell r="B931" t="str">
            <v>Beef Burger Quesadilla</v>
          </cell>
          <cell r="C931">
            <v>0</v>
          </cell>
        </row>
        <row r="932">
          <cell r="B932" t="str">
            <v>Beef Double Cheese Burger</v>
          </cell>
          <cell r="C932">
            <v>5</v>
          </cell>
        </row>
        <row r="933">
          <cell r="B933" t="str">
            <v>Beef Double Cheese Sliders</v>
          </cell>
          <cell r="C933">
            <v>5</v>
          </cell>
        </row>
        <row r="934">
          <cell r="B934" t="str">
            <v>Beef Kimbap</v>
          </cell>
          <cell r="C934">
            <v>4</v>
          </cell>
        </row>
        <row r="935">
          <cell r="B935" t="str">
            <v>Beef Slaw Burger</v>
          </cell>
          <cell r="C935">
            <v>0</v>
          </cell>
        </row>
        <row r="936">
          <cell r="B936" t="str">
            <v>Beef Slaw Sliders</v>
          </cell>
          <cell r="C936">
            <v>0</v>
          </cell>
        </row>
        <row r="937">
          <cell r="B937" t="str">
            <v>Beef Tacos</v>
          </cell>
          <cell r="C937">
            <v>14</v>
          </cell>
        </row>
        <row r="938">
          <cell r="B938" t="str">
            <v>Black Bao Bun</v>
          </cell>
          <cell r="C938">
            <v>0</v>
          </cell>
        </row>
        <row r="939">
          <cell r="B939" t="str">
            <v>Boondi Raita</v>
          </cell>
          <cell r="C939">
            <v>18</v>
          </cell>
        </row>
        <row r="940">
          <cell r="B940" t="str">
            <v>Brown Rice</v>
          </cell>
          <cell r="C940">
            <v>0</v>
          </cell>
        </row>
        <row r="941">
          <cell r="B941" t="str">
            <v>Buffalo Beef Burger</v>
          </cell>
          <cell r="C941">
            <v>0</v>
          </cell>
        </row>
        <row r="942">
          <cell r="B942" t="str">
            <v>Buffalo Beef Sliders</v>
          </cell>
          <cell r="C942">
            <v>0</v>
          </cell>
        </row>
        <row r="943">
          <cell r="B943" t="str">
            <v>Buffalo Burger</v>
          </cell>
          <cell r="C943">
            <v>0</v>
          </cell>
        </row>
        <row r="944">
          <cell r="B944" t="str">
            <v>Buffalo Chicken Wrap</v>
          </cell>
          <cell r="C944">
            <v>2</v>
          </cell>
        </row>
        <row r="945">
          <cell r="B945" t="str">
            <v>Buffalo Falafel Slider</v>
          </cell>
          <cell r="C945">
            <v>2</v>
          </cell>
        </row>
        <row r="946">
          <cell r="B946" t="str">
            <v>Buffalo Grilled Halloumi Slider</v>
          </cell>
          <cell r="C946">
            <v>2</v>
          </cell>
        </row>
        <row r="947">
          <cell r="B947" t="str">
            <v>Buffalo Sliders</v>
          </cell>
          <cell r="C947">
            <v>0</v>
          </cell>
        </row>
        <row r="948">
          <cell r="B948" t="str">
            <v>Bulgogi Deopbap</v>
          </cell>
          <cell r="C948">
            <v>6</v>
          </cell>
        </row>
        <row r="949">
          <cell r="B949" t="str">
            <v>Bulgogi Deopbap</v>
          </cell>
          <cell r="C949">
            <v>3</v>
          </cell>
        </row>
        <row r="950">
          <cell r="B950" t="str">
            <v>Burnt Garlic Rice</v>
          </cell>
          <cell r="C950">
            <v>2</v>
          </cell>
        </row>
        <row r="951">
          <cell r="B951" t="str">
            <v>Butter Chicken</v>
          </cell>
          <cell r="C951">
            <v>44</v>
          </cell>
        </row>
        <row r="952">
          <cell r="B952" t="str">
            <v>Butter Naan</v>
          </cell>
          <cell r="C952">
            <v>16</v>
          </cell>
        </row>
        <row r="953">
          <cell r="B953" t="str">
            <v>Butter Roti</v>
          </cell>
          <cell r="C953">
            <v>15</v>
          </cell>
        </row>
        <row r="954">
          <cell r="B954" t="str">
            <v>California Crab Bowl</v>
          </cell>
          <cell r="C954">
            <v>0</v>
          </cell>
        </row>
        <row r="955">
          <cell r="B955" t="str">
            <v>California Roll</v>
          </cell>
          <cell r="C955">
            <v>0</v>
          </cell>
        </row>
        <row r="956">
          <cell r="B956" t="str">
            <v>Cauliflower</v>
          </cell>
          <cell r="C956">
            <v>0</v>
          </cell>
        </row>
        <row r="957">
          <cell r="B957" t="str">
            <v>Cheese Fries</v>
          </cell>
          <cell r="C957">
            <v>23</v>
          </cell>
        </row>
        <row r="958">
          <cell r="B958" t="str">
            <v>Cheese Quesadilla</v>
          </cell>
          <cell r="C958">
            <v>0</v>
          </cell>
        </row>
        <row r="959">
          <cell r="B959" t="str">
            <v>Cheese and Veg Kimbap</v>
          </cell>
          <cell r="C959">
            <v>0</v>
          </cell>
        </row>
        <row r="960">
          <cell r="B960" t="str">
            <v>Cheesy Fries</v>
          </cell>
          <cell r="C960">
            <v>26</v>
          </cell>
        </row>
        <row r="961">
          <cell r="B961" t="str">
            <v>Cheesy Nachos</v>
          </cell>
          <cell r="C961">
            <v>36</v>
          </cell>
        </row>
        <row r="962">
          <cell r="B962" t="str">
            <v>Chicken</v>
          </cell>
          <cell r="C962">
            <v>0</v>
          </cell>
        </row>
        <row r="963">
          <cell r="B963" t="str">
            <v>Chicken Avocado Burger</v>
          </cell>
          <cell r="C963">
            <v>0</v>
          </cell>
        </row>
        <row r="964">
          <cell r="B964" t="str">
            <v>Chicken Avocado Sliders</v>
          </cell>
          <cell r="C964">
            <v>0</v>
          </cell>
        </row>
        <row r="965">
          <cell r="B965" t="str">
            <v>Chicken Bibimbap</v>
          </cell>
          <cell r="C965">
            <v>0</v>
          </cell>
        </row>
        <row r="966">
          <cell r="B966" t="str">
            <v>Chicken Buffalo Burger</v>
          </cell>
          <cell r="C966">
            <v>0</v>
          </cell>
        </row>
        <row r="967">
          <cell r="B967" t="str">
            <v>Chicken Buffalo Sliders</v>
          </cell>
          <cell r="C967">
            <v>0</v>
          </cell>
        </row>
        <row r="968">
          <cell r="B968" t="str">
            <v>Chicken Caesar Wrap</v>
          </cell>
          <cell r="C968">
            <v>0</v>
          </cell>
        </row>
        <row r="969">
          <cell r="B969" t="str">
            <v>Chicken Crunchy Slaw Burger</v>
          </cell>
          <cell r="C969">
            <v>0</v>
          </cell>
        </row>
        <row r="970">
          <cell r="B970" t="str">
            <v>Chicken Crunchy Slaw Sliders</v>
          </cell>
          <cell r="C970">
            <v>0</v>
          </cell>
        </row>
        <row r="971">
          <cell r="B971" t="str">
            <v>Chicken Dynamite Burger</v>
          </cell>
          <cell r="C971">
            <v>0</v>
          </cell>
        </row>
        <row r="972">
          <cell r="B972" t="str">
            <v>Chicken Dynamite Sliders</v>
          </cell>
          <cell r="C972">
            <v>0</v>
          </cell>
        </row>
        <row r="973">
          <cell r="B973" t="str">
            <v>Chicken Honey Mustard Burger</v>
          </cell>
          <cell r="C973">
            <v>0</v>
          </cell>
        </row>
        <row r="974">
          <cell r="B974" t="str">
            <v>Chicken Honey Mustard Sliders</v>
          </cell>
          <cell r="C974">
            <v>0</v>
          </cell>
        </row>
        <row r="975">
          <cell r="B975" t="str">
            <v>Chicken Kalimirch</v>
          </cell>
          <cell r="C975">
            <v>56</v>
          </cell>
        </row>
        <row r="976">
          <cell r="B976" t="str">
            <v>Chicken Lababdar</v>
          </cell>
          <cell r="C976">
            <v>41</v>
          </cell>
        </row>
        <row r="977">
          <cell r="B977" t="str">
            <v>Chicken Sausage</v>
          </cell>
          <cell r="C977">
            <v>0</v>
          </cell>
        </row>
        <row r="978">
          <cell r="B978" t="str">
            <v>Chicken Seekh Kebab</v>
          </cell>
          <cell r="C978">
            <v>32</v>
          </cell>
        </row>
        <row r="979">
          <cell r="B979" t="str">
            <v>Chicken Tacos</v>
          </cell>
          <cell r="C979">
            <v>4</v>
          </cell>
        </row>
        <row r="980">
          <cell r="B980" t="str">
            <v>Chicken Tikka</v>
          </cell>
          <cell r="C980">
            <v>50</v>
          </cell>
        </row>
        <row r="981">
          <cell r="B981" t="str">
            <v>Chicken Tikka Masala</v>
          </cell>
          <cell r="C981">
            <v>42</v>
          </cell>
        </row>
        <row r="982">
          <cell r="B982" t="str">
            <v>Chicken Truffle Burger</v>
          </cell>
          <cell r="C982">
            <v>0</v>
          </cell>
        </row>
        <row r="983">
          <cell r="B983" t="str">
            <v>Chicken Truffle Sliders</v>
          </cell>
          <cell r="C983">
            <v>0</v>
          </cell>
        </row>
        <row r="984">
          <cell r="B984" t="str">
            <v>Chicken Kimbap</v>
          </cell>
          <cell r="C984">
            <v>0</v>
          </cell>
        </row>
        <row r="985">
          <cell r="B985" t="str">
            <v>Chili Chicken Burger</v>
          </cell>
          <cell r="C985">
            <v>0</v>
          </cell>
        </row>
        <row r="986">
          <cell r="B986" t="str">
            <v>Chili Chicken Sliders</v>
          </cell>
          <cell r="C986">
            <v>0</v>
          </cell>
        </row>
        <row r="987">
          <cell r="B987" t="str">
            <v>Chili Garlic Shrimp Deopbap</v>
          </cell>
          <cell r="C987">
            <v>0.01</v>
          </cell>
        </row>
        <row r="988">
          <cell r="B988" t="str">
            <v>Chili Garlic Shrimp Deopbap</v>
          </cell>
          <cell r="C988">
            <v>1</v>
          </cell>
        </row>
        <row r="989">
          <cell r="B989" t="str">
            <v>Chili Hoisin Tenders</v>
          </cell>
          <cell r="C989">
            <v>7</v>
          </cell>
        </row>
        <row r="990">
          <cell r="B990" t="str">
            <v>Chili Hoisin Wings</v>
          </cell>
          <cell r="C990">
            <v>7</v>
          </cell>
        </row>
        <row r="991">
          <cell r="B991" t="str">
            <v>Chimichanga - Fried</v>
          </cell>
          <cell r="C991">
            <v>0</v>
          </cell>
        </row>
        <row r="992">
          <cell r="B992" t="str">
            <v>Chimichurri - Tangy Herby</v>
          </cell>
          <cell r="C992">
            <v>0</v>
          </cell>
        </row>
        <row r="993">
          <cell r="B993" t="str">
            <v>Classic</v>
          </cell>
          <cell r="C993">
            <v>0</v>
          </cell>
        </row>
        <row r="994">
          <cell r="B994" t="str">
            <v>Classic Beef Burger</v>
          </cell>
          <cell r="C994">
            <v>0</v>
          </cell>
        </row>
        <row r="995">
          <cell r="B995" t="str">
            <v>Classic Beef Sliders</v>
          </cell>
          <cell r="C995">
            <v>0</v>
          </cell>
        </row>
        <row r="996">
          <cell r="B996" t="str">
            <v>Classic Burger</v>
          </cell>
          <cell r="C996">
            <v>0</v>
          </cell>
        </row>
        <row r="997">
          <cell r="B997" t="str">
            <v>Classic Chicken Wrap</v>
          </cell>
          <cell r="C997">
            <v>0</v>
          </cell>
        </row>
        <row r="998">
          <cell r="B998" t="str">
            <v>Classic Falafel Slider</v>
          </cell>
          <cell r="C998">
            <v>0</v>
          </cell>
        </row>
        <row r="999">
          <cell r="B999" t="str">
            <v>Classic Grilled Halloumi Slider</v>
          </cell>
          <cell r="C999">
            <v>0</v>
          </cell>
        </row>
        <row r="1000">
          <cell r="B1000" t="str">
            <v>Classic Sliders</v>
          </cell>
          <cell r="C1000">
            <v>0</v>
          </cell>
        </row>
        <row r="1001">
          <cell r="B1001" t="str">
            <v>Coca Cola</v>
          </cell>
          <cell r="C1001">
            <v>9</v>
          </cell>
        </row>
        <row r="1002">
          <cell r="B1002" t="str">
            <v>Coca Cola Zero</v>
          </cell>
          <cell r="C1002">
            <v>9</v>
          </cell>
        </row>
        <row r="1003">
          <cell r="B1003" t="str">
            <v>Coca Cola</v>
          </cell>
          <cell r="C1003">
            <v>2</v>
          </cell>
        </row>
        <row r="1004">
          <cell r="B1004" t="str">
            <v>Coca Cola Zero</v>
          </cell>
          <cell r="C1004">
            <v>2</v>
          </cell>
        </row>
        <row r="1005">
          <cell r="B1005" t="str">
            <v>Coconut Milk</v>
          </cell>
          <cell r="C1005">
            <v>0</v>
          </cell>
        </row>
        <row r="1006">
          <cell r="B1006" t="str">
            <v>Crab Roll</v>
          </cell>
          <cell r="C1006">
            <v>0</v>
          </cell>
        </row>
        <row r="1007">
          <cell r="B1007" t="str">
            <v>Crab Sticks</v>
          </cell>
          <cell r="C1007">
            <v>0</v>
          </cell>
        </row>
        <row r="1008">
          <cell r="B1008" t="str">
            <v>Crisp Tacos</v>
          </cell>
          <cell r="C1008">
            <v>0</v>
          </cell>
        </row>
        <row r="1009">
          <cell r="B1009" t="str">
            <v>Crispy Chicken Burger</v>
          </cell>
          <cell r="C1009">
            <v>0</v>
          </cell>
        </row>
        <row r="1010">
          <cell r="B1010" t="str">
            <v>Crispy Chicken Burrito</v>
          </cell>
          <cell r="C1010">
            <v>5</v>
          </cell>
        </row>
        <row r="1011">
          <cell r="B1011" t="str">
            <v>Crispy Chicken Fajita Wrap</v>
          </cell>
          <cell r="C1011">
            <v>3</v>
          </cell>
        </row>
        <row r="1012">
          <cell r="B1012" t="str">
            <v>Crispy Chicken Sliders</v>
          </cell>
          <cell r="C1012">
            <v>0</v>
          </cell>
        </row>
        <row r="1013">
          <cell r="B1013" t="str">
            <v>Crispy Tofu Deopbap</v>
          </cell>
          <cell r="C1013">
            <v>3</v>
          </cell>
        </row>
        <row r="1014">
          <cell r="B1014" t="str">
            <v>Crispy Tofu Deopbap</v>
          </cell>
          <cell r="C1014">
            <v>3</v>
          </cell>
        </row>
        <row r="1015">
          <cell r="B1015" t="str">
            <v>Crunchy BBQ Burger</v>
          </cell>
          <cell r="C1015">
            <v>0</v>
          </cell>
        </row>
        <row r="1016">
          <cell r="B1016" t="str">
            <v>Crunchy BBQ Sliders</v>
          </cell>
          <cell r="C1016">
            <v>0</v>
          </cell>
        </row>
        <row r="1017">
          <cell r="B1017" t="str">
            <v>Cucumber Hosomaki</v>
          </cell>
          <cell r="C1017">
            <v>0</v>
          </cell>
        </row>
        <row r="1018">
          <cell r="B1018" t="str">
            <v>Dak Deopbap</v>
          </cell>
          <cell r="C1018">
            <v>2</v>
          </cell>
        </row>
        <row r="1019">
          <cell r="B1019" t="str">
            <v>Dak Deopbap</v>
          </cell>
          <cell r="C1019">
            <v>2</v>
          </cell>
        </row>
        <row r="1020">
          <cell r="B1020" t="str">
            <v>Dal Makhani</v>
          </cell>
          <cell r="C1020">
            <v>46</v>
          </cell>
        </row>
        <row r="1021">
          <cell r="B1021" t="str">
            <v>Dal Palak</v>
          </cell>
          <cell r="C1021">
            <v>34</v>
          </cell>
        </row>
        <row r="1022">
          <cell r="B1022" t="str">
            <v>Dal Tadka</v>
          </cell>
          <cell r="C1022">
            <v>36</v>
          </cell>
        </row>
        <row r="1023">
          <cell r="B1023" t="str">
            <v>Double Beef Burger</v>
          </cell>
          <cell r="C1023">
            <v>14</v>
          </cell>
        </row>
        <row r="1024">
          <cell r="B1024" t="str">
            <v>Double Beef Sliders</v>
          </cell>
          <cell r="C1024">
            <v>14</v>
          </cell>
        </row>
        <row r="1025">
          <cell r="B1025" t="str">
            <v>Double Cheese Burger</v>
          </cell>
          <cell r="C1025">
            <v>4</v>
          </cell>
        </row>
        <row r="1026">
          <cell r="B1026" t="str">
            <v>Double Cheese Sliders</v>
          </cell>
          <cell r="C1026">
            <v>4</v>
          </cell>
        </row>
        <row r="1027">
          <cell r="B1027" t="str">
            <v>Dragon Roll</v>
          </cell>
          <cell r="C1027">
            <v>0</v>
          </cell>
        </row>
        <row r="1028">
          <cell r="B1028" t="str">
            <v>Dynamite Burger</v>
          </cell>
          <cell r="C1028">
            <v>0</v>
          </cell>
        </row>
        <row r="1029">
          <cell r="B1029" t="str">
            <v>Dynamite Fries</v>
          </cell>
          <cell r="C1029">
            <v>24</v>
          </cell>
        </row>
        <row r="1030">
          <cell r="B1030" t="str">
            <v>Dynamite Roll</v>
          </cell>
          <cell r="C1030">
            <v>0</v>
          </cell>
        </row>
        <row r="1031">
          <cell r="B1031" t="str">
            <v>Dynamite Sliders</v>
          </cell>
          <cell r="C1031">
            <v>0</v>
          </cell>
        </row>
        <row r="1032">
          <cell r="B1032" t="str">
            <v>Dynamite Tenders</v>
          </cell>
          <cell r="C1032">
            <v>6</v>
          </cell>
        </row>
        <row r="1033">
          <cell r="B1033" t="str">
            <v>Dynamite Wings</v>
          </cell>
          <cell r="C1033">
            <v>6</v>
          </cell>
        </row>
        <row r="1034">
          <cell r="B1034" t="str">
            <v>Ebi Nigiri</v>
          </cell>
          <cell r="C1034">
            <v>0</v>
          </cell>
        </row>
        <row r="1035">
          <cell r="B1035" t="str">
            <v>Egg</v>
          </cell>
          <cell r="C1035">
            <v>0</v>
          </cell>
        </row>
        <row r="1036">
          <cell r="B1036" t="str">
            <v>Egg Masala Curry</v>
          </cell>
          <cell r="C1036">
            <v>28</v>
          </cell>
        </row>
        <row r="1037">
          <cell r="B1037" t="str">
            <v>Egg Whites Only</v>
          </cell>
          <cell r="C1037">
            <v>0</v>
          </cell>
        </row>
        <row r="1038">
          <cell r="B1038" t="str">
            <v>Everything Bagel</v>
          </cell>
          <cell r="C1038">
            <v>0</v>
          </cell>
        </row>
        <row r="1039">
          <cell r="B1039" t="str">
            <v>Everything Bagel</v>
          </cell>
          <cell r="C1039">
            <v>0</v>
          </cell>
        </row>
        <row r="1040">
          <cell r="B1040" t="str">
            <v>Everything Bagel</v>
          </cell>
          <cell r="C1040">
            <v>0</v>
          </cell>
        </row>
        <row r="1041">
          <cell r="B1041" t="str">
            <v>Everything Bagel</v>
          </cell>
          <cell r="C1041">
            <v>0</v>
          </cell>
        </row>
        <row r="1042">
          <cell r="B1042" t="str">
            <v>Extra Cheese</v>
          </cell>
          <cell r="C1042">
            <v>5</v>
          </cell>
        </row>
        <row r="1043">
          <cell r="B1043" t="str">
            <v>Extra Guacamole</v>
          </cell>
          <cell r="C1043">
            <v>6</v>
          </cell>
        </row>
        <row r="1044">
          <cell r="B1044" t="str">
            <v>Extra Salsa</v>
          </cell>
          <cell r="C1044">
            <v>6</v>
          </cell>
        </row>
        <row r="1045">
          <cell r="B1045" t="str">
            <v>Extra Sour Cream</v>
          </cell>
          <cell r="C1045">
            <v>6</v>
          </cell>
        </row>
        <row r="1046">
          <cell r="B1046" t="str">
            <v>Fanta</v>
          </cell>
          <cell r="C1046">
            <v>0</v>
          </cell>
        </row>
        <row r="1047">
          <cell r="B1047" t="str">
            <v>French Fries</v>
          </cell>
          <cell r="C1047">
            <v>21</v>
          </cell>
        </row>
        <row r="1048">
          <cell r="B1048" t="str">
            <v>Fried</v>
          </cell>
          <cell r="C1048">
            <v>0</v>
          </cell>
        </row>
        <row r="1049">
          <cell r="B1049" t="str">
            <v>Fried</v>
          </cell>
          <cell r="C1049">
            <v>0</v>
          </cell>
        </row>
        <row r="1050">
          <cell r="B1050" t="str">
            <v>Fried</v>
          </cell>
          <cell r="C1050">
            <v>0</v>
          </cell>
        </row>
        <row r="1051">
          <cell r="B1051" t="str">
            <v>Fried</v>
          </cell>
          <cell r="C1051">
            <v>0</v>
          </cell>
        </row>
        <row r="1052">
          <cell r="B1052" t="str">
            <v>Fried Rice</v>
          </cell>
          <cell r="C1052">
            <v>0</v>
          </cell>
        </row>
        <row r="1053">
          <cell r="B1053" t="str">
            <v>Fries</v>
          </cell>
          <cell r="C1053">
            <v>19</v>
          </cell>
        </row>
        <row r="1054">
          <cell r="B1054" t="str">
            <v>Fruit Punch Flavor</v>
          </cell>
          <cell r="C1054">
            <v>0</v>
          </cell>
        </row>
        <row r="1055">
          <cell r="B1055" t="str">
            <v>Garlic Naan</v>
          </cell>
          <cell r="C1055">
            <v>17</v>
          </cell>
        </row>
        <row r="1056">
          <cell r="B1056" t="str">
            <v>Garlic Parmesan Tenders</v>
          </cell>
          <cell r="C1056">
            <v>7</v>
          </cell>
        </row>
        <row r="1057">
          <cell r="B1057" t="str">
            <v>Garlic Parmesan Wings</v>
          </cell>
          <cell r="C1057">
            <v>7</v>
          </cell>
        </row>
        <row r="1058">
          <cell r="B1058" t="str">
            <v>Garlic and Chilli Rice</v>
          </cell>
          <cell r="C1058">
            <v>2</v>
          </cell>
        </row>
        <row r="1059">
          <cell r="B1059" t="str">
            <v>Gochujang Shrimp Deopbap</v>
          </cell>
          <cell r="C1059">
            <v>0</v>
          </cell>
        </row>
        <row r="1060">
          <cell r="B1060" t="str">
            <v>Gochujang Shrimp Deopbap</v>
          </cell>
          <cell r="C1060">
            <v>4</v>
          </cell>
        </row>
        <row r="1061">
          <cell r="B1061" t="str">
            <v>Gochujang Shrimp Deopbap</v>
          </cell>
          <cell r="C1061">
            <v>0</v>
          </cell>
        </row>
        <row r="1062">
          <cell r="B1062" t="str">
            <v>Golden Sweet And Sour Chicken Lollipops</v>
          </cell>
          <cell r="C1062">
            <v>4</v>
          </cell>
        </row>
        <row r="1063">
          <cell r="B1063" t="str">
            <v>Green Salad</v>
          </cell>
          <cell r="C1063">
            <v>19</v>
          </cell>
        </row>
        <row r="1064">
          <cell r="B1064" t="str">
            <v>Grilled Chicken Burrito</v>
          </cell>
          <cell r="C1064">
            <v>0</v>
          </cell>
        </row>
        <row r="1065">
          <cell r="B1065" t="str">
            <v>Grilled Chicken Fajita Meal</v>
          </cell>
          <cell r="C1065">
            <v>5</v>
          </cell>
        </row>
        <row r="1066">
          <cell r="B1066" t="str">
            <v>Grilled Chicken Fajita Wrap</v>
          </cell>
          <cell r="C1066">
            <v>3</v>
          </cell>
        </row>
        <row r="1067">
          <cell r="B1067" t="str">
            <v>Grilled Chicken and Cheese Quesadilla</v>
          </cell>
          <cell r="C1067">
            <v>5</v>
          </cell>
        </row>
        <row r="1068">
          <cell r="B1068" t="str">
            <v>Grilled Classic Chicken Burger</v>
          </cell>
          <cell r="C1068">
            <v>0</v>
          </cell>
        </row>
        <row r="1069">
          <cell r="B1069" t="str">
            <v>Grilled Classic Chicken Sliders</v>
          </cell>
          <cell r="C1069">
            <v>0</v>
          </cell>
        </row>
        <row r="1070">
          <cell r="B1070" t="str">
            <v>Grilled Fish Fajita Meal</v>
          </cell>
          <cell r="C1070">
            <v>5</v>
          </cell>
        </row>
        <row r="1071">
          <cell r="B1071" t="str">
            <v>Grilled Prawns Tandoori</v>
          </cell>
          <cell r="C1071">
            <v>44</v>
          </cell>
        </row>
        <row r="1072">
          <cell r="B1072" t="str">
            <v>Ground Beef Burrito</v>
          </cell>
          <cell r="C1072">
            <v>14</v>
          </cell>
        </row>
        <row r="1073">
          <cell r="B1073" t="str">
            <v>Ground Beef Tacos</v>
          </cell>
          <cell r="C1073">
            <v>14</v>
          </cell>
        </row>
        <row r="1074">
          <cell r="B1074" t="str">
            <v>Hakka Noodles</v>
          </cell>
          <cell r="C1074">
            <v>0</v>
          </cell>
        </row>
        <row r="1075">
          <cell r="B1075" t="str">
            <v>Hara Bhara Kabab</v>
          </cell>
          <cell r="C1075">
            <v>33</v>
          </cell>
        </row>
        <row r="1076">
          <cell r="B1076" t="str">
            <v>Haryali Chicken Tikka</v>
          </cell>
          <cell r="C1076">
            <v>50</v>
          </cell>
        </row>
        <row r="1077">
          <cell r="B1077" t="str">
            <v>Honey BBQ Chicken Burger</v>
          </cell>
          <cell r="C1077">
            <v>0</v>
          </cell>
        </row>
        <row r="1078">
          <cell r="B1078" t="str">
            <v>Honey BBQ Chicken Sliders</v>
          </cell>
          <cell r="C1078">
            <v>0</v>
          </cell>
        </row>
        <row r="1079">
          <cell r="B1079" t="str">
            <v>Honey Chilli Potatoes</v>
          </cell>
          <cell r="C1079">
            <v>32</v>
          </cell>
        </row>
        <row r="1080">
          <cell r="B1080" t="str">
            <v>Honey Chilli Shrimp</v>
          </cell>
          <cell r="C1080">
            <v>42</v>
          </cell>
        </row>
        <row r="1081">
          <cell r="B1081" t="str">
            <v>Honey Garlic Wings</v>
          </cell>
          <cell r="C1081">
            <v>0</v>
          </cell>
        </row>
        <row r="1082">
          <cell r="B1082" t="str">
            <v>Honey Mustard Burger</v>
          </cell>
          <cell r="C1082">
            <v>0</v>
          </cell>
        </row>
        <row r="1083">
          <cell r="B1083" t="str">
            <v>Honey Mustard Falafel Slider</v>
          </cell>
          <cell r="C1083">
            <v>2</v>
          </cell>
        </row>
        <row r="1084">
          <cell r="B1084" t="str">
            <v>Honey Mustard Grilled Halloumi Slider</v>
          </cell>
          <cell r="C1084">
            <v>2</v>
          </cell>
        </row>
        <row r="1085">
          <cell r="B1085" t="str">
            <v>Honey Mustard Sliders</v>
          </cell>
          <cell r="C1085">
            <v>0</v>
          </cell>
        </row>
        <row r="1086">
          <cell r="B1086" t="str">
            <v>Honey Mustard Tenders</v>
          </cell>
          <cell r="C1086">
            <v>5</v>
          </cell>
        </row>
        <row r="1087">
          <cell r="B1087" t="str">
            <v>Honey Mustard Wings</v>
          </cell>
          <cell r="C1087">
            <v>5</v>
          </cell>
        </row>
        <row r="1088">
          <cell r="B1088" t="str">
            <v>Honey Garlic Chicken</v>
          </cell>
          <cell r="C1088">
            <v>0</v>
          </cell>
        </row>
        <row r="1089">
          <cell r="B1089" t="str">
            <v>Honey Garlic Wings</v>
          </cell>
          <cell r="C1089">
            <v>0</v>
          </cell>
        </row>
        <row r="1090">
          <cell r="B1090" t="str">
            <v>Hot</v>
          </cell>
          <cell r="C1090">
            <v>0</v>
          </cell>
        </row>
        <row r="1091">
          <cell r="B1091" t="str">
            <v>Hot</v>
          </cell>
          <cell r="C1091">
            <v>0</v>
          </cell>
        </row>
        <row r="1092">
          <cell r="B1092" t="str">
            <v>Hot</v>
          </cell>
          <cell r="C1092">
            <v>0</v>
          </cell>
        </row>
        <row r="1093">
          <cell r="B1093" t="str">
            <v>Hot Honey Burger</v>
          </cell>
          <cell r="C1093">
            <v>0</v>
          </cell>
        </row>
        <row r="1094">
          <cell r="B1094" t="str">
            <v>Hot Honey Chicken Wrap</v>
          </cell>
          <cell r="C1094">
            <v>1</v>
          </cell>
        </row>
        <row r="1095">
          <cell r="B1095" t="str">
            <v>Hot Honey Sliders</v>
          </cell>
          <cell r="C1095">
            <v>0</v>
          </cell>
        </row>
        <row r="1096">
          <cell r="B1096" t="str">
            <v>Hot Honey Tenders</v>
          </cell>
          <cell r="C1096">
            <v>5</v>
          </cell>
        </row>
        <row r="1097">
          <cell r="B1097" t="str">
            <v>Hot Honey Wings</v>
          </cell>
          <cell r="C1097">
            <v>5</v>
          </cell>
        </row>
        <row r="1098">
          <cell r="B1098" t="str">
            <v>House Slaw</v>
          </cell>
          <cell r="C1098">
            <v>29</v>
          </cell>
        </row>
        <row r="1099">
          <cell r="B1099" t="str">
            <v>Island Fusion</v>
          </cell>
          <cell r="C1099">
            <v>0</v>
          </cell>
        </row>
        <row r="1100">
          <cell r="B1100" t="str">
            <v>Italian Burger</v>
          </cell>
          <cell r="C1100">
            <v>0</v>
          </cell>
        </row>
        <row r="1101">
          <cell r="B1101" t="str">
            <v>Italian Chicken Burger</v>
          </cell>
          <cell r="C1101">
            <v>0</v>
          </cell>
        </row>
        <row r="1102">
          <cell r="B1102" t="str">
            <v>Italian Chicken Sliders</v>
          </cell>
          <cell r="C1102">
            <v>0</v>
          </cell>
        </row>
        <row r="1103">
          <cell r="B1103" t="str">
            <v>Italian Sliders</v>
          </cell>
          <cell r="C1103">
            <v>0</v>
          </cell>
        </row>
        <row r="1104">
          <cell r="B1104" t="str">
            <v>Japchae Beef</v>
          </cell>
          <cell r="C1104">
            <v>4</v>
          </cell>
        </row>
        <row r="1105">
          <cell r="B1105" t="str">
            <v>Japchae Chicken</v>
          </cell>
          <cell r="C1105">
            <v>0</v>
          </cell>
        </row>
        <row r="1106">
          <cell r="B1106" t="str">
            <v>Japchae &amp; Shrimp Kimbap</v>
          </cell>
          <cell r="C1106">
            <v>2</v>
          </cell>
        </row>
        <row r="1107">
          <cell r="B1107" t="str">
            <v>Japchae Veg</v>
          </cell>
          <cell r="C1107">
            <v>0</v>
          </cell>
        </row>
        <row r="1108">
          <cell r="B1108" t="str">
            <v>Jarritos Mexican Soda - Fruit Punch Flavor</v>
          </cell>
          <cell r="C1108">
            <v>15</v>
          </cell>
        </row>
        <row r="1109">
          <cell r="B1109" t="str">
            <v>Jarritos Mexican Soda - Lime Flavor</v>
          </cell>
          <cell r="C1109">
            <v>15</v>
          </cell>
        </row>
        <row r="1110">
          <cell r="B1110" t="str">
            <v>Jarritos Mexican Soda - Mandarin Flavor</v>
          </cell>
          <cell r="C1110">
            <v>15</v>
          </cell>
        </row>
        <row r="1111">
          <cell r="B1111" t="str">
            <v>Jarritos Soda - Fruit Punch Flavor</v>
          </cell>
          <cell r="C1111">
            <v>15</v>
          </cell>
        </row>
        <row r="1112">
          <cell r="B1112" t="str">
            <v>Jarritos Soda - Lime Flavor</v>
          </cell>
          <cell r="C1112">
            <v>15</v>
          </cell>
        </row>
        <row r="1113">
          <cell r="B1113" t="str">
            <v>Jarritos Soda - Mandarin Flavor</v>
          </cell>
          <cell r="C1113">
            <v>15</v>
          </cell>
        </row>
        <row r="1114">
          <cell r="B1114" t="str">
            <v>Jasmine Rice</v>
          </cell>
          <cell r="C1114">
            <v>0</v>
          </cell>
        </row>
        <row r="1115">
          <cell r="B1115" t="str">
            <v>Jasmine Rice</v>
          </cell>
          <cell r="C1115">
            <v>0</v>
          </cell>
        </row>
        <row r="1116">
          <cell r="B1116" t="str">
            <v>Jeera Rice</v>
          </cell>
          <cell r="C1116">
            <v>20</v>
          </cell>
        </row>
        <row r="1117">
          <cell r="B1117" t="str">
            <v>Kachumber Salad</v>
          </cell>
          <cell r="C1117">
            <v>7</v>
          </cell>
        </row>
        <row r="1118">
          <cell r="B1118" t="str">
            <v>Kadai Chicken</v>
          </cell>
          <cell r="C1118">
            <v>36</v>
          </cell>
        </row>
        <row r="1119">
          <cell r="B1119" t="str">
            <v>Kadhai Paneer</v>
          </cell>
          <cell r="C1119">
            <v>41</v>
          </cell>
        </row>
        <row r="1120">
          <cell r="B1120" t="str">
            <v>Kani Hosomaki</v>
          </cell>
          <cell r="C1120">
            <v>2</v>
          </cell>
        </row>
        <row r="1121">
          <cell r="B1121" t="str">
            <v>Kimchi Kimbap</v>
          </cell>
          <cell r="C1121">
            <v>0</v>
          </cell>
        </row>
        <row r="1122">
          <cell r="B1122" t="str">
            <v>Kimchi Shrimp Fried Rice</v>
          </cell>
          <cell r="C1122">
            <v>2</v>
          </cell>
        </row>
        <row r="1123">
          <cell r="B1123" t="str">
            <v>Kimchi Shrimp Fried Rice</v>
          </cell>
          <cell r="C1123">
            <v>2</v>
          </cell>
        </row>
        <row r="1124">
          <cell r="B1124" t="str">
            <v>Kimchi Shrimp Fried Rice</v>
          </cell>
          <cell r="C1124">
            <v>2</v>
          </cell>
        </row>
        <row r="1125">
          <cell r="B1125" t="str">
            <v>Korean Style Chicken</v>
          </cell>
          <cell r="C1125">
            <v>0</v>
          </cell>
        </row>
        <row r="1126">
          <cell r="B1126" t="str">
            <v>Korean Sweet Chili Tenders</v>
          </cell>
          <cell r="C1126">
            <v>7</v>
          </cell>
        </row>
        <row r="1127">
          <cell r="B1127" t="str">
            <v>Korean Sweet Chili Wings</v>
          </cell>
          <cell r="C1127">
            <v>7</v>
          </cell>
        </row>
        <row r="1128">
          <cell r="B1128" t="str">
            <v>Korean Style Chicken</v>
          </cell>
          <cell r="C1128">
            <v>0</v>
          </cell>
        </row>
        <row r="1129">
          <cell r="B1129" t="str">
            <v>Lime Flavor</v>
          </cell>
          <cell r="C1129">
            <v>0</v>
          </cell>
        </row>
        <row r="1130">
          <cell r="B1130" t="str">
            <v>Malai Broccoli</v>
          </cell>
          <cell r="C1130">
            <v>51</v>
          </cell>
        </row>
        <row r="1131">
          <cell r="B1131" t="str">
            <v>Malai Chicken Tikka</v>
          </cell>
          <cell r="C1131">
            <v>51</v>
          </cell>
        </row>
        <row r="1132">
          <cell r="B1132" t="str">
            <v>Mandarin Flavor</v>
          </cell>
          <cell r="C1132">
            <v>0</v>
          </cell>
        </row>
        <row r="1133">
          <cell r="B1133" t="str">
            <v>Mango Flavor</v>
          </cell>
          <cell r="C1133">
            <v>0</v>
          </cell>
        </row>
        <row r="1134">
          <cell r="B1134" t="str">
            <v>Mango Roll</v>
          </cell>
          <cell r="C1134">
            <v>0</v>
          </cell>
        </row>
        <row r="1135">
          <cell r="B1135" t="str">
            <v>Medium</v>
          </cell>
          <cell r="C1135">
            <v>0</v>
          </cell>
        </row>
        <row r="1136">
          <cell r="B1136" t="str">
            <v>Medium</v>
          </cell>
          <cell r="C1136">
            <v>0</v>
          </cell>
        </row>
        <row r="1137">
          <cell r="B1137" t="str">
            <v>Medium</v>
          </cell>
          <cell r="C1137">
            <v>0</v>
          </cell>
        </row>
        <row r="1138">
          <cell r="B1138" t="str">
            <v>Medium</v>
          </cell>
          <cell r="C1138">
            <v>0</v>
          </cell>
        </row>
        <row r="1139">
          <cell r="B1139" t="str">
            <v>Medium</v>
          </cell>
          <cell r="C1139">
            <v>0</v>
          </cell>
        </row>
        <row r="1140">
          <cell r="B1140" t="str">
            <v>Medium</v>
          </cell>
          <cell r="C1140">
            <v>0</v>
          </cell>
        </row>
        <row r="1141">
          <cell r="B1141" t="str">
            <v>Mexican Cola Flavour</v>
          </cell>
          <cell r="C1141">
            <v>0</v>
          </cell>
        </row>
        <row r="1142">
          <cell r="B1142" t="str">
            <v>Mexican Crunch Beef Burger</v>
          </cell>
          <cell r="C1142">
            <v>0</v>
          </cell>
        </row>
        <row r="1143">
          <cell r="B1143" t="str">
            <v>Mexican Crunch Beef Sliders</v>
          </cell>
          <cell r="C1143">
            <v>0</v>
          </cell>
        </row>
        <row r="1144">
          <cell r="B1144" t="str">
            <v>Mexican Crunch Burger</v>
          </cell>
          <cell r="C1144">
            <v>0</v>
          </cell>
        </row>
        <row r="1145">
          <cell r="B1145" t="str">
            <v>Mexican Crunch Chicken Burger</v>
          </cell>
          <cell r="C1145">
            <v>0</v>
          </cell>
        </row>
        <row r="1146">
          <cell r="B1146" t="str">
            <v>Mexican Crunch Chicken Sliders</v>
          </cell>
          <cell r="C1146">
            <v>0</v>
          </cell>
        </row>
        <row r="1147">
          <cell r="B1147" t="str">
            <v>Mexican Crunch Sliders</v>
          </cell>
          <cell r="C1147">
            <v>0</v>
          </cell>
        </row>
        <row r="1148">
          <cell r="B1148" t="str">
            <v>Mexican Rice</v>
          </cell>
          <cell r="C1148">
            <v>0</v>
          </cell>
        </row>
        <row r="1149">
          <cell r="B1149" t="str">
            <v>Mild</v>
          </cell>
          <cell r="C1149">
            <v>0</v>
          </cell>
        </row>
        <row r="1150">
          <cell r="B1150" t="str">
            <v>Mild</v>
          </cell>
          <cell r="C1150">
            <v>0</v>
          </cell>
        </row>
        <row r="1151">
          <cell r="B1151" t="str">
            <v>Mild</v>
          </cell>
          <cell r="C1151">
            <v>0</v>
          </cell>
        </row>
        <row r="1152">
          <cell r="B1152" t="str">
            <v>Mineral Water</v>
          </cell>
          <cell r="C1152">
            <v>14</v>
          </cell>
        </row>
        <row r="1153">
          <cell r="B1153" t="str">
            <v>Mineral Water</v>
          </cell>
          <cell r="C1153">
            <v>0</v>
          </cell>
        </row>
        <row r="1154">
          <cell r="B1154" t="str">
            <v>Mint Chutney (4 Oz)</v>
          </cell>
          <cell r="C1154">
            <v>5</v>
          </cell>
        </row>
        <row r="1155">
          <cell r="B1155" t="str">
            <v>Mixed</v>
          </cell>
          <cell r="C1155">
            <v>13</v>
          </cell>
        </row>
        <row r="1156">
          <cell r="B1156" t="str">
            <v>Mixed</v>
          </cell>
          <cell r="C1156">
            <v>0</v>
          </cell>
        </row>
        <row r="1157">
          <cell r="B1157" t="str">
            <v>Mixed Veg Raita</v>
          </cell>
          <cell r="C1157">
            <v>7</v>
          </cell>
        </row>
        <row r="1158">
          <cell r="B1158" t="str">
            <v>Mixed Vegetables Balls</v>
          </cell>
          <cell r="C1158">
            <v>4</v>
          </cell>
        </row>
        <row r="1159">
          <cell r="B1159" t="str">
            <v>Mozzarella Sticks</v>
          </cell>
          <cell r="C1159">
            <v>25</v>
          </cell>
        </row>
        <row r="1160">
          <cell r="B1160" t="str">
            <v>Multigrain</v>
          </cell>
          <cell r="C1160">
            <v>0</v>
          </cell>
        </row>
        <row r="1161">
          <cell r="B1161" t="str">
            <v>Multigrain</v>
          </cell>
          <cell r="C1161">
            <v>0</v>
          </cell>
        </row>
        <row r="1162">
          <cell r="B1162" t="str">
            <v>Multigrain</v>
          </cell>
          <cell r="C1162">
            <v>0</v>
          </cell>
        </row>
        <row r="1163">
          <cell r="B1163" t="str">
            <v>Multigrain</v>
          </cell>
          <cell r="C1163">
            <v>0</v>
          </cell>
        </row>
        <row r="1164">
          <cell r="B1164" t="str">
            <v>Murg Angaari</v>
          </cell>
          <cell r="C1164">
            <v>49</v>
          </cell>
        </row>
        <row r="1165">
          <cell r="B1165" t="str">
            <v>Mushroom</v>
          </cell>
          <cell r="C1165">
            <v>2</v>
          </cell>
        </row>
        <row r="1166">
          <cell r="B1166" t="str">
            <v>Mushroom Masala</v>
          </cell>
          <cell r="C1166">
            <v>35</v>
          </cell>
        </row>
        <row r="1167">
          <cell r="B1167" t="str">
            <v>Mushroom Truffle Beef Burger</v>
          </cell>
          <cell r="C1167">
            <v>0</v>
          </cell>
        </row>
        <row r="1168">
          <cell r="B1168" t="str">
            <v>Mushroom Truffle Beef Sliders</v>
          </cell>
          <cell r="C1168">
            <v>0</v>
          </cell>
        </row>
        <row r="1169">
          <cell r="B1169" t="str">
            <v>Mushroom Truffle Burger</v>
          </cell>
          <cell r="C1169">
            <v>0</v>
          </cell>
        </row>
        <row r="1170">
          <cell r="B1170" t="str">
            <v>Mushroom Truffle Sliders</v>
          </cell>
          <cell r="C1170">
            <v>0</v>
          </cell>
        </row>
        <row r="1171">
          <cell r="B1171" t="str">
            <v>Mutter Paneer</v>
          </cell>
          <cell r="C1171">
            <v>44</v>
          </cell>
        </row>
        <row r="1172">
          <cell r="B1172" t="str">
            <v>Mutton Curry</v>
          </cell>
          <cell r="C1172">
            <v>10</v>
          </cell>
        </row>
        <row r="1173">
          <cell r="B1173" t="str">
            <v>Nachos</v>
          </cell>
          <cell r="C1173">
            <v>35</v>
          </cell>
        </row>
        <row r="1174">
          <cell r="B1174" t="str">
            <v>Nachos And Guacamole</v>
          </cell>
          <cell r="C1174">
            <v>39</v>
          </cell>
        </row>
        <row r="1175">
          <cell r="B1175" t="str">
            <v>Nakji Bokkeum (Octopus)</v>
          </cell>
          <cell r="C1175">
            <v>0.03</v>
          </cell>
        </row>
        <row r="1176">
          <cell r="B1176" t="str">
            <v>Nakji Bokkeum (Octopus)</v>
          </cell>
          <cell r="C1176">
            <v>3</v>
          </cell>
        </row>
        <row r="1177">
          <cell r="B1177" t="str">
            <v>No Preference</v>
          </cell>
          <cell r="C1177">
            <v>0</v>
          </cell>
        </row>
        <row r="1178">
          <cell r="B1178" t="str">
            <v>Oat Milk</v>
          </cell>
          <cell r="C1178">
            <v>0</v>
          </cell>
        </row>
        <row r="1179">
          <cell r="B1179" t="str">
            <v>Ojingeo Deopbap (Squid)</v>
          </cell>
          <cell r="C1179">
            <v>0.02</v>
          </cell>
        </row>
        <row r="1180">
          <cell r="B1180" t="str">
            <v>Ojingeo Deopbap (Squid)</v>
          </cell>
          <cell r="C1180">
            <v>2</v>
          </cell>
        </row>
        <row r="1181">
          <cell r="B1181" t="str">
            <v>Okinawa Roll</v>
          </cell>
          <cell r="C1181">
            <v>0</v>
          </cell>
        </row>
        <row r="1182">
          <cell r="B1182" t="str">
            <v>Onion Rings</v>
          </cell>
          <cell r="C1182">
            <v>24</v>
          </cell>
        </row>
        <row r="1183">
          <cell r="B1183" t="str">
            <v>Over-Easy</v>
          </cell>
          <cell r="C1183">
            <v>0</v>
          </cell>
        </row>
        <row r="1184">
          <cell r="B1184" t="str">
            <v>Palak Paneer</v>
          </cell>
          <cell r="C1184">
            <v>45</v>
          </cell>
        </row>
        <row r="1185">
          <cell r="B1185" t="str">
            <v>Paneer Butter Masala</v>
          </cell>
          <cell r="C1185">
            <v>48</v>
          </cell>
        </row>
        <row r="1186">
          <cell r="B1186" t="str">
            <v>Paneer Malai Tikka</v>
          </cell>
          <cell r="C1186">
            <v>49</v>
          </cell>
        </row>
        <row r="1187">
          <cell r="B1187" t="str">
            <v>Paneer Tikka</v>
          </cell>
          <cell r="C1187">
            <v>47</v>
          </cell>
        </row>
        <row r="1188">
          <cell r="B1188" t="str">
            <v>Paneer Tikka Masala</v>
          </cell>
          <cell r="C1188">
            <v>51</v>
          </cell>
        </row>
        <row r="1189">
          <cell r="B1189" t="str">
            <v>Peri Peri Tenders</v>
          </cell>
          <cell r="C1189">
            <v>7</v>
          </cell>
        </row>
        <row r="1190">
          <cell r="B1190" t="str">
            <v>Peri Peri Wings</v>
          </cell>
          <cell r="C1190">
            <v>7</v>
          </cell>
        </row>
        <row r="1191">
          <cell r="B1191" t="str">
            <v>Peshawari Murgh</v>
          </cell>
          <cell r="C1191">
            <v>40</v>
          </cell>
        </row>
        <row r="1192">
          <cell r="B1192" t="str">
            <v>Philadelphia Roll</v>
          </cell>
          <cell r="C1192">
            <v>0</v>
          </cell>
        </row>
        <row r="1193">
          <cell r="B1193" t="str">
            <v>Pindi Chole</v>
          </cell>
          <cell r="C1193">
            <v>34</v>
          </cell>
        </row>
        <row r="1194">
          <cell r="B1194" t="str">
            <v>Pineapple Flavor</v>
          </cell>
          <cell r="C1194">
            <v>0</v>
          </cell>
        </row>
        <row r="1195">
          <cell r="B1195" t="str">
            <v>Plain</v>
          </cell>
          <cell r="C1195">
            <v>0</v>
          </cell>
        </row>
        <row r="1196">
          <cell r="B1196" t="str">
            <v>Plain</v>
          </cell>
          <cell r="C1196">
            <v>0</v>
          </cell>
        </row>
        <row r="1197">
          <cell r="B1197" t="str">
            <v>Plain</v>
          </cell>
          <cell r="C1197">
            <v>0</v>
          </cell>
        </row>
        <row r="1198">
          <cell r="B1198" t="str">
            <v>Plain</v>
          </cell>
          <cell r="C1198">
            <v>0</v>
          </cell>
        </row>
        <row r="1199">
          <cell r="B1199" t="str">
            <v>Plain Bagel</v>
          </cell>
          <cell r="C1199">
            <v>0</v>
          </cell>
        </row>
        <row r="1200">
          <cell r="B1200" t="str">
            <v>Plain Bagel</v>
          </cell>
          <cell r="C1200">
            <v>0</v>
          </cell>
        </row>
        <row r="1201">
          <cell r="B1201" t="str">
            <v>Plain Bagel</v>
          </cell>
          <cell r="C1201">
            <v>0</v>
          </cell>
        </row>
        <row r="1202">
          <cell r="B1202" t="str">
            <v>Plain Bagel</v>
          </cell>
          <cell r="C1202">
            <v>0</v>
          </cell>
        </row>
        <row r="1203">
          <cell r="B1203" t="str">
            <v>Plain Dahi</v>
          </cell>
          <cell r="C1203">
            <v>16</v>
          </cell>
        </row>
        <row r="1204">
          <cell r="B1204" t="str">
            <v>Plain Naan</v>
          </cell>
          <cell r="C1204">
            <v>13</v>
          </cell>
        </row>
        <row r="1205">
          <cell r="B1205" t="str">
            <v>Plain Tenders</v>
          </cell>
          <cell r="C1205">
            <v>0</v>
          </cell>
        </row>
        <row r="1206">
          <cell r="B1206" t="str">
            <v>Plain Wings</v>
          </cell>
          <cell r="C1206">
            <v>0</v>
          </cell>
        </row>
        <row r="1207">
          <cell r="B1207" t="str">
            <v>Poached</v>
          </cell>
          <cell r="C1207">
            <v>0</v>
          </cell>
        </row>
        <row r="1208">
          <cell r="B1208" t="str">
            <v>Poached</v>
          </cell>
          <cell r="C1208">
            <v>0</v>
          </cell>
        </row>
        <row r="1209">
          <cell r="B1209" t="str">
            <v>Poached</v>
          </cell>
          <cell r="C1209">
            <v>0</v>
          </cell>
        </row>
        <row r="1210">
          <cell r="B1210" t="str">
            <v>Prawn Curry</v>
          </cell>
          <cell r="C1210">
            <v>40</v>
          </cell>
        </row>
        <row r="1211">
          <cell r="B1211" t="str">
            <v>Prawns</v>
          </cell>
          <cell r="C1211">
            <v>35</v>
          </cell>
        </row>
        <row r="1212">
          <cell r="B1212" t="str">
            <v>Quinoa</v>
          </cell>
          <cell r="C1212">
            <v>0</v>
          </cell>
        </row>
        <row r="1213">
          <cell r="B1213" t="str">
            <v>Quinoa</v>
          </cell>
          <cell r="C1213">
            <v>0</v>
          </cell>
        </row>
        <row r="1214">
          <cell r="B1214" t="str">
            <v>Rainbow Roll</v>
          </cell>
          <cell r="C1214">
            <v>0</v>
          </cell>
        </row>
        <row r="1215">
          <cell r="B1215" t="str">
            <v>Ranchero - Smoky Tomato</v>
          </cell>
          <cell r="C1215">
            <v>0</v>
          </cell>
        </row>
        <row r="1216">
          <cell r="B1216" t="str">
            <v>Regular Milk</v>
          </cell>
          <cell r="C1216">
            <v>0</v>
          </cell>
        </row>
        <row r="1217">
          <cell r="B1217" t="str">
            <v>Salmon</v>
          </cell>
          <cell r="C1217">
            <v>0</v>
          </cell>
        </row>
        <row r="1218">
          <cell r="B1218" t="str">
            <v>Salmon Hosomaki</v>
          </cell>
          <cell r="C1218">
            <v>4</v>
          </cell>
        </row>
        <row r="1219">
          <cell r="B1219" t="str">
            <v>Salmon Nigiri</v>
          </cell>
          <cell r="C1219">
            <v>0</v>
          </cell>
        </row>
        <row r="1220">
          <cell r="B1220" t="str">
            <v>Schezwan Fried Rice</v>
          </cell>
          <cell r="C1220">
            <v>2</v>
          </cell>
        </row>
        <row r="1221">
          <cell r="B1221" t="str">
            <v>Schezwan Noodles</v>
          </cell>
          <cell r="C1221">
            <v>0</v>
          </cell>
        </row>
        <row r="1222">
          <cell r="B1222" t="str">
            <v>Scrambled</v>
          </cell>
          <cell r="C1222">
            <v>0</v>
          </cell>
        </row>
        <row r="1223">
          <cell r="B1223" t="str">
            <v>Scrambled</v>
          </cell>
          <cell r="C1223">
            <v>0</v>
          </cell>
        </row>
        <row r="1224">
          <cell r="B1224" t="str">
            <v>Scrambled</v>
          </cell>
          <cell r="C1224">
            <v>0</v>
          </cell>
        </row>
        <row r="1225">
          <cell r="B1225" t="str">
            <v>Scrambled</v>
          </cell>
          <cell r="C1225">
            <v>0</v>
          </cell>
        </row>
        <row r="1226">
          <cell r="B1226" t="str">
            <v>Sesame &amp; Sweet Tenders</v>
          </cell>
          <cell r="C1226">
            <v>5</v>
          </cell>
        </row>
        <row r="1227">
          <cell r="B1227" t="str">
            <v>Sesame &amp; Sweet Wings</v>
          </cell>
          <cell r="C1227">
            <v>5</v>
          </cell>
        </row>
        <row r="1228">
          <cell r="B1228" t="str">
            <v>Sesame Bagel</v>
          </cell>
          <cell r="C1228">
            <v>0</v>
          </cell>
        </row>
        <row r="1229">
          <cell r="B1229" t="str">
            <v>Sesame Bagel</v>
          </cell>
          <cell r="C1229">
            <v>0</v>
          </cell>
        </row>
        <row r="1230">
          <cell r="B1230" t="str">
            <v>Sesame Bagel</v>
          </cell>
          <cell r="C1230">
            <v>0</v>
          </cell>
        </row>
        <row r="1231">
          <cell r="B1231" t="str">
            <v>Sesame Bagel</v>
          </cell>
          <cell r="C1231">
            <v>0</v>
          </cell>
        </row>
        <row r="1232">
          <cell r="B1232" t="str">
            <v>Shanghai Stir Fried Noodles</v>
          </cell>
          <cell r="C1232">
            <v>0</v>
          </cell>
        </row>
        <row r="1233">
          <cell r="B1233" t="str">
            <v>Shrimp</v>
          </cell>
          <cell r="C1233">
            <v>10</v>
          </cell>
        </row>
        <row r="1234">
          <cell r="B1234" t="str">
            <v>Shrimp Bibimbap</v>
          </cell>
          <cell r="C1234">
            <v>4</v>
          </cell>
        </row>
        <row r="1235">
          <cell r="B1235" t="str">
            <v>Shrimp Japchae</v>
          </cell>
          <cell r="C1235">
            <v>2</v>
          </cell>
        </row>
        <row r="1236">
          <cell r="B1236" t="str">
            <v>Shrimp Tacos</v>
          </cell>
          <cell r="C1236">
            <v>9</v>
          </cell>
        </row>
        <row r="1237">
          <cell r="B1237" t="str">
            <v>Shrimps</v>
          </cell>
          <cell r="C1237">
            <v>8</v>
          </cell>
        </row>
        <row r="1238">
          <cell r="B1238" t="str">
            <v>Singapore Noodles</v>
          </cell>
          <cell r="C1238">
            <v>0</v>
          </cell>
        </row>
        <row r="1239">
          <cell r="B1239" t="str">
            <v>Slaw Burger</v>
          </cell>
          <cell r="C1239">
            <v>0</v>
          </cell>
        </row>
        <row r="1240">
          <cell r="B1240" t="str">
            <v>Slaw Sliders</v>
          </cell>
          <cell r="C1240">
            <v>0</v>
          </cell>
        </row>
        <row r="1241">
          <cell r="B1241" t="str">
            <v>Smokey BBQ Tenders</v>
          </cell>
          <cell r="C1241">
            <v>5</v>
          </cell>
        </row>
        <row r="1242">
          <cell r="B1242" t="str">
            <v>Smokey BBQ Wings</v>
          </cell>
          <cell r="C1242">
            <v>5</v>
          </cell>
        </row>
        <row r="1243">
          <cell r="B1243" t="str">
            <v>Smoky Beef Burrito</v>
          </cell>
          <cell r="C1243">
            <v>9</v>
          </cell>
        </row>
        <row r="1244">
          <cell r="B1244" t="str">
            <v>Smoky Beef Fajita Meal</v>
          </cell>
          <cell r="C1244">
            <v>14</v>
          </cell>
        </row>
        <row r="1245">
          <cell r="B1245" t="str">
            <v>Smoky Beef Fajita Wrap</v>
          </cell>
          <cell r="C1245">
            <v>9</v>
          </cell>
        </row>
        <row r="1246">
          <cell r="B1246" t="str">
            <v>Smoky Beef and Cheese Quesadilla</v>
          </cell>
          <cell r="C1246">
            <v>14</v>
          </cell>
        </row>
        <row r="1247">
          <cell r="B1247" t="str">
            <v>Soft</v>
          </cell>
          <cell r="C1247">
            <v>0</v>
          </cell>
        </row>
        <row r="1248">
          <cell r="B1248" t="str">
            <v>Soft</v>
          </cell>
          <cell r="C1248">
            <v>0</v>
          </cell>
        </row>
        <row r="1249">
          <cell r="B1249" t="str">
            <v>Soft Tacos</v>
          </cell>
          <cell r="C1249">
            <v>0</v>
          </cell>
        </row>
        <row r="1250">
          <cell r="B1250" t="str">
            <v>Sourdough</v>
          </cell>
          <cell r="C1250">
            <v>0</v>
          </cell>
        </row>
        <row r="1251">
          <cell r="B1251" t="str">
            <v>Sourdough</v>
          </cell>
          <cell r="C1251">
            <v>0</v>
          </cell>
        </row>
        <row r="1252">
          <cell r="B1252" t="str">
            <v>Sourdough</v>
          </cell>
          <cell r="C1252">
            <v>0</v>
          </cell>
        </row>
        <row r="1253">
          <cell r="B1253" t="str">
            <v>Sourdough</v>
          </cell>
          <cell r="C1253">
            <v>0</v>
          </cell>
        </row>
        <row r="1254">
          <cell r="B1254" t="str">
            <v>Soy and Garlic Chicken</v>
          </cell>
          <cell r="C1254">
            <v>0</v>
          </cell>
        </row>
        <row r="1255">
          <cell r="B1255" t="str">
            <v>Soy and Garlic Wings</v>
          </cell>
          <cell r="C1255">
            <v>0</v>
          </cell>
        </row>
        <row r="1256">
          <cell r="B1256" t="str">
            <v>Soy and Garlic Chicken</v>
          </cell>
          <cell r="C1256">
            <v>0</v>
          </cell>
        </row>
        <row r="1257">
          <cell r="B1257" t="str">
            <v>Soy and Garlic Wings</v>
          </cell>
          <cell r="C1257">
            <v>0</v>
          </cell>
        </row>
        <row r="1258">
          <cell r="B1258" t="str">
            <v>Spiced Veggie Burrito</v>
          </cell>
          <cell r="C1258">
            <v>0</v>
          </cell>
        </row>
        <row r="1259">
          <cell r="B1259" t="str">
            <v>Spiced Veggie Fajita Meal</v>
          </cell>
          <cell r="C1259">
            <v>0</v>
          </cell>
        </row>
        <row r="1260">
          <cell r="B1260" t="str">
            <v>Spiced Veggie Fajita Wrap</v>
          </cell>
          <cell r="C1260">
            <v>0</v>
          </cell>
        </row>
        <row r="1261">
          <cell r="B1261" t="str">
            <v>Spiced Veggies and Cheese Quesadilla</v>
          </cell>
          <cell r="C1261">
            <v>0</v>
          </cell>
        </row>
        <row r="1262">
          <cell r="B1262" t="str">
            <v>Spicy Chicken</v>
          </cell>
          <cell r="C1262">
            <v>0</v>
          </cell>
        </row>
        <row r="1263">
          <cell r="B1263" t="str">
            <v>Spicy Fries</v>
          </cell>
          <cell r="C1263">
            <v>22</v>
          </cell>
        </row>
        <row r="1264">
          <cell r="B1264" t="str">
            <v>Spicy Prawn Fajita Meal</v>
          </cell>
          <cell r="C1264">
            <v>10</v>
          </cell>
        </row>
        <row r="1265">
          <cell r="B1265" t="str">
            <v>Spicy Salmon Roll</v>
          </cell>
          <cell r="C1265">
            <v>0</v>
          </cell>
        </row>
        <row r="1266">
          <cell r="B1266" t="str">
            <v>Spicy Salmon Umami</v>
          </cell>
          <cell r="C1266">
            <v>0</v>
          </cell>
        </row>
        <row r="1267">
          <cell r="B1267" t="str">
            <v>Spicy Shrimp Burrito</v>
          </cell>
          <cell r="C1267">
            <v>5</v>
          </cell>
        </row>
        <row r="1268">
          <cell r="B1268" t="str">
            <v>Spicy Shrimp Fajita Wrap</v>
          </cell>
          <cell r="C1268">
            <v>5</v>
          </cell>
        </row>
        <row r="1269">
          <cell r="B1269" t="str">
            <v>Spicy Shrimp and Cheese Quesadilla</v>
          </cell>
          <cell r="C1269">
            <v>10</v>
          </cell>
        </row>
        <row r="1270">
          <cell r="B1270" t="str">
            <v>Spicy Tuna Roll</v>
          </cell>
          <cell r="C1270">
            <v>0</v>
          </cell>
        </row>
        <row r="1271">
          <cell r="B1271" t="str">
            <v>Spicy Tuna &amp; Mango</v>
          </cell>
          <cell r="C1271">
            <v>0</v>
          </cell>
        </row>
        <row r="1272">
          <cell r="B1272" t="str">
            <v>Spicy Wings</v>
          </cell>
          <cell r="C1272">
            <v>0</v>
          </cell>
        </row>
        <row r="1273">
          <cell r="B1273" t="str">
            <v>Sprite</v>
          </cell>
          <cell r="C1273">
            <v>9</v>
          </cell>
        </row>
        <row r="1274">
          <cell r="B1274" t="str">
            <v>Sprite Zero</v>
          </cell>
          <cell r="C1274">
            <v>9</v>
          </cell>
        </row>
        <row r="1275">
          <cell r="B1275" t="str">
            <v>Sprite Zero</v>
          </cell>
          <cell r="C1275">
            <v>2</v>
          </cell>
        </row>
        <row r="1276">
          <cell r="B1276" t="str">
            <v>Steamed Rice</v>
          </cell>
          <cell r="C1276">
            <v>19</v>
          </cell>
        </row>
        <row r="1277">
          <cell r="B1277" t="str">
            <v>Street Style Chow Mein</v>
          </cell>
          <cell r="C1277">
            <v>0</v>
          </cell>
        </row>
        <row r="1278">
          <cell r="B1278" t="str">
            <v>Sushi Rice</v>
          </cell>
          <cell r="C1278">
            <v>0</v>
          </cell>
        </row>
        <row r="1279">
          <cell r="B1279" t="str">
            <v>Sushi Rice</v>
          </cell>
          <cell r="C1279">
            <v>0</v>
          </cell>
        </row>
        <row r="1280">
          <cell r="B1280" t="str">
            <v>Tandoori Cauliflower</v>
          </cell>
          <cell r="C1280">
            <v>33</v>
          </cell>
        </row>
        <row r="1281">
          <cell r="B1281" t="str">
            <v>Tandoori Mushroom</v>
          </cell>
          <cell r="C1281">
            <v>45</v>
          </cell>
        </row>
        <row r="1282">
          <cell r="B1282" t="str">
            <v>Tandoori Roti</v>
          </cell>
          <cell r="C1282">
            <v>13</v>
          </cell>
        </row>
        <row r="1283">
          <cell r="B1283" t="str">
            <v>Tandoori Wings</v>
          </cell>
          <cell r="C1283">
            <v>40</v>
          </cell>
        </row>
        <row r="1284">
          <cell r="B1284" t="str">
            <v>Tangdi Kabab - 2 Pcs</v>
          </cell>
          <cell r="C1284">
            <v>5</v>
          </cell>
        </row>
        <row r="1285">
          <cell r="B1285" t="str">
            <v>Tangy Buffalo Tenders</v>
          </cell>
          <cell r="C1285">
            <v>5</v>
          </cell>
        </row>
        <row r="1286">
          <cell r="B1286" t="str">
            <v>Tangy Buffalo Wings</v>
          </cell>
          <cell r="C1286">
            <v>5</v>
          </cell>
        </row>
        <row r="1287">
          <cell r="B1287" t="str">
            <v>Tempura Roll</v>
          </cell>
          <cell r="C1287">
            <v>0</v>
          </cell>
        </row>
        <row r="1288">
          <cell r="B1288" t="str">
            <v>Tex Mex Fries</v>
          </cell>
          <cell r="C1288">
            <v>30</v>
          </cell>
        </row>
        <row r="1289">
          <cell r="B1289" t="str">
            <v>Texas Beef Burger</v>
          </cell>
          <cell r="C1289">
            <v>0</v>
          </cell>
        </row>
        <row r="1290">
          <cell r="B1290" t="str">
            <v>Texas Beef Sliders</v>
          </cell>
          <cell r="C1290">
            <v>0</v>
          </cell>
        </row>
        <row r="1291">
          <cell r="B1291" t="str">
            <v>Texas Burger</v>
          </cell>
          <cell r="C1291">
            <v>0</v>
          </cell>
        </row>
        <row r="1292">
          <cell r="B1292" t="str">
            <v>Texas Sliders</v>
          </cell>
          <cell r="C1292">
            <v>0</v>
          </cell>
        </row>
        <row r="1293">
          <cell r="B1293" t="str">
            <v>The All-Star</v>
          </cell>
          <cell r="C1293">
            <v>0</v>
          </cell>
        </row>
        <row r="1294">
          <cell r="B1294" t="str">
            <v>The Classic Salmon</v>
          </cell>
          <cell r="C1294">
            <v>0</v>
          </cell>
        </row>
        <row r="1295">
          <cell r="B1295" t="str">
            <v>The Grand Tuna</v>
          </cell>
          <cell r="C1295">
            <v>0</v>
          </cell>
        </row>
        <row r="1296">
          <cell r="B1296" t="str">
            <v>The Veggie Bliss</v>
          </cell>
          <cell r="C1296">
            <v>0</v>
          </cell>
        </row>
        <row r="1297">
          <cell r="B1297" t="str">
            <v>Tofu</v>
          </cell>
          <cell r="C1297">
            <v>2</v>
          </cell>
        </row>
        <row r="1298">
          <cell r="B1298" t="str">
            <v>Tofu Bibimbap</v>
          </cell>
          <cell r="C1298">
            <v>0</v>
          </cell>
        </row>
        <row r="1299">
          <cell r="B1299" t="str">
            <v>Triple Crunch Prawn Roll</v>
          </cell>
          <cell r="C1299">
            <v>0</v>
          </cell>
        </row>
        <row r="1300">
          <cell r="B1300" t="str">
            <v>Tuna</v>
          </cell>
          <cell r="C1300">
            <v>0</v>
          </cell>
        </row>
        <row r="1301">
          <cell r="B1301" t="str">
            <v>Tuna Hosomaki</v>
          </cell>
          <cell r="C1301">
            <v>4</v>
          </cell>
        </row>
        <row r="1302">
          <cell r="B1302" t="str">
            <v>Tuna Nigiri</v>
          </cell>
          <cell r="C1302">
            <v>0</v>
          </cell>
        </row>
        <row r="1303">
          <cell r="B1303" t="str">
            <v>Tuna Kimbap</v>
          </cell>
          <cell r="C1303">
            <v>2</v>
          </cell>
        </row>
        <row r="1304">
          <cell r="B1304" t="str">
            <v>Veg Bibimbap</v>
          </cell>
          <cell r="C1304">
            <v>0</v>
          </cell>
        </row>
        <row r="1305">
          <cell r="B1305" t="str">
            <v>Veg Raita</v>
          </cell>
          <cell r="C1305">
            <v>17</v>
          </cell>
        </row>
        <row r="1306">
          <cell r="B1306" t="str">
            <v>Veg Ranchero Burrito</v>
          </cell>
          <cell r="C1306">
            <v>14</v>
          </cell>
        </row>
        <row r="1307">
          <cell r="B1307" t="str">
            <v>Vegetable</v>
          </cell>
          <cell r="C1307">
            <v>0</v>
          </cell>
        </row>
        <row r="1308">
          <cell r="B1308" t="str">
            <v>Vegetarian</v>
          </cell>
          <cell r="C1308">
            <v>0</v>
          </cell>
        </row>
        <row r="1309">
          <cell r="B1309" t="str">
            <v>Veggie Sticks</v>
          </cell>
          <cell r="C1309">
            <v>19</v>
          </cell>
        </row>
        <row r="1310">
          <cell r="B1310" t="str">
            <v>Veggie Tacos</v>
          </cell>
          <cell r="C1310">
            <v>0</v>
          </cell>
        </row>
        <row r="1311">
          <cell r="B1311" t="str">
            <v>Water</v>
          </cell>
          <cell r="C1311">
            <v>0</v>
          </cell>
        </row>
        <row r="1312">
          <cell r="B1312" t="str">
            <v>Well Done</v>
          </cell>
          <cell r="C1312">
            <v>0</v>
          </cell>
        </row>
        <row r="1313">
          <cell r="B1313" t="str">
            <v>Well Done</v>
          </cell>
          <cell r="C1313">
            <v>0</v>
          </cell>
        </row>
        <row r="1314">
          <cell r="B1314" t="str">
            <v>Well Done</v>
          </cell>
          <cell r="C1314">
            <v>0</v>
          </cell>
        </row>
        <row r="1315">
          <cell r="B1315" t="str">
            <v>Well Done</v>
          </cell>
          <cell r="C1315">
            <v>0</v>
          </cell>
        </row>
        <row r="1316">
          <cell r="B1316" t="str">
            <v>Well Done</v>
          </cell>
          <cell r="C1316">
            <v>0</v>
          </cell>
        </row>
        <row r="1317">
          <cell r="B1317" t="str">
            <v>White Bao Bun</v>
          </cell>
          <cell r="C1317">
            <v>0</v>
          </cell>
        </row>
        <row r="1318">
          <cell r="B1318" t="str">
            <v>Whole Egg</v>
          </cell>
          <cell r="C1318">
            <v>0</v>
          </cell>
        </row>
        <row r="1319">
          <cell r="B1319" t="str">
            <v>Whole Wheat Bagel</v>
          </cell>
          <cell r="C1319">
            <v>0</v>
          </cell>
        </row>
        <row r="1320">
          <cell r="B1320" t="str">
            <v>Wok Fired Schezwan Chicken Lollipops</v>
          </cell>
          <cell r="C1320">
            <v>4</v>
          </cell>
        </row>
        <row r="1321">
          <cell r="B1321" t="str">
            <v>Wok Tossed Black Pepper Chicken Lollipops</v>
          </cell>
          <cell r="C1321">
            <v>4</v>
          </cell>
        </row>
        <row r="1322">
          <cell r="B1322" t="str">
            <v>Wok Tossed Chili Chicken Lollipops</v>
          </cell>
          <cell r="C1322">
            <v>4</v>
          </cell>
        </row>
        <row r="1323">
          <cell r="B1323" t="str">
            <v>Yangnyeom Chicken</v>
          </cell>
          <cell r="C1323">
            <v>0</v>
          </cell>
        </row>
        <row r="1324">
          <cell r="B1324" t="str">
            <v>Yangnyeom Wings</v>
          </cell>
          <cell r="C1324">
            <v>0</v>
          </cell>
        </row>
        <row r="1325">
          <cell r="B1325" t="str">
            <v>veg</v>
          </cell>
          <cell r="C1325">
            <v>0</v>
          </cell>
        </row>
        <row r="1326">
          <cell r="B1326" t="str">
            <v>Add ons</v>
          </cell>
          <cell r="C1326">
            <v>0</v>
          </cell>
        </row>
        <row r="1327">
          <cell r="B1327" t="str">
            <v>Add ons</v>
          </cell>
          <cell r="C1327">
            <v>0</v>
          </cell>
        </row>
        <row r="1328">
          <cell r="B1328" t="str">
            <v>Add ons</v>
          </cell>
          <cell r="C1328">
            <v>0</v>
          </cell>
        </row>
        <row r="1329">
          <cell r="B1329" t="str">
            <v>Add ons</v>
          </cell>
          <cell r="C1329">
            <v>0</v>
          </cell>
        </row>
        <row r="1330">
          <cell r="B1330" t="str">
            <v>Add ons</v>
          </cell>
          <cell r="C1330">
            <v>0</v>
          </cell>
        </row>
        <row r="1331">
          <cell r="B1331" t="str">
            <v>Add ons</v>
          </cell>
          <cell r="C1331">
            <v>0</v>
          </cell>
        </row>
        <row r="1332">
          <cell r="B1332" t="str">
            <v>Add ons</v>
          </cell>
          <cell r="C1332">
            <v>0</v>
          </cell>
        </row>
        <row r="1333">
          <cell r="B1333" t="str">
            <v>Add ons</v>
          </cell>
          <cell r="C1333">
            <v>0</v>
          </cell>
        </row>
        <row r="1334">
          <cell r="B1334" t="str">
            <v>Add ons</v>
          </cell>
          <cell r="C1334">
            <v>0</v>
          </cell>
        </row>
        <row r="1335">
          <cell r="B1335" t="str">
            <v>Add ons</v>
          </cell>
          <cell r="C1335">
            <v>0</v>
          </cell>
        </row>
        <row r="1336">
          <cell r="B1336" t="str">
            <v>Add ons</v>
          </cell>
          <cell r="C1336">
            <v>0</v>
          </cell>
        </row>
        <row r="1337">
          <cell r="B1337" t="str">
            <v>Add ons</v>
          </cell>
          <cell r="C1337">
            <v>0</v>
          </cell>
        </row>
        <row r="1338">
          <cell r="B1338" t="str">
            <v>Add ons</v>
          </cell>
          <cell r="C1338">
            <v>0</v>
          </cell>
        </row>
        <row r="1339">
          <cell r="B1339" t="str">
            <v>Add ons</v>
          </cell>
          <cell r="C1339">
            <v>0</v>
          </cell>
        </row>
        <row r="1340">
          <cell r="B1340" t="str">
            <v>Add ons</v>
          </cell>
          <cell r="C1340">
            <v>0</v>
          </cell>
        </row>
        <row r="1341">
          <cell r="B1341" t="str">
            <v>Add ons</v>
          </cell>
          <cell r="C1341">
            <v>0</v>
          </cell>
        </row>
        <row r="1342">
          <cell r="B1342" t="str">
            <v>Add ons</v>
          </cell>
          <cell r="C1342">
            <v>0</v>
          </cell>
        </row>
        <row r="1343">
          <cell r="B1343" t="str">
            <v>Add ons</v>
          </cell>
          <cell r="C1343">
            <v>0</v>
          </cell>
        </row>
        <row r="1344">
          <cell r="B1344" t="str">
            <v>Add ons</v>
          </cell>
          <cell r="C1344">
            <v>0</v>
          </cell>
        </row>
        <row r="1345">
          <cell r="B1345" t="str">
            <v>Add ons</v>
          </cell>
          <cell r="C1345">
            <v>0</v>
          </cell>
        </row>
        <row r="1346">
          <cell r="B1346" t="str">
            <v>Add upto 4 drinks</v>
          </cell>
          <cell r="C1346">
            <v>0</v>
          </cell>
        </row>
        <row r="1347">
          <cell r="B1347" t="str">
            <v>Add upto 4 drinks</v>
          </cell>
          <cell r="C1347">
            <v>0</v>
          </cell>
        </row>
        <row r="1348">
          <cell r="B1348" t="str">
            <v>Add upto 4 drinks</v>
          </cell>
          <cell r="C1348">
            <v>0</v>
          </cell>
        </row>
        <row r="1349">
          <cell r="B1349" t="str">
            <v>Add upto 4 drinks</v>
          </cell>
          <cell r="C1349">
            <v>0</v>
          </cell>
        </row>
        <row r="1350">
          <cell r="B1350" t="str">
            <v>Add upto 4 drinks</v>
          </cell>
          <cell r="C1350">
            <v>0</v>
          </cell>
        </row>
        <row r="1351">
          <cell r="B1351" t="str">
            <v>Add upto 4 drinks</v>
          </cell>
          <cell r="C1351">
            <v>0</v>
          </cell>
        </row>
        <row r="1352">
          <cell r="B1352" t="str">
            <v>Add upto 4 drinks</v>
          </cell>
          <cell r="C1352">
            <v>0</v>
          </cell>
        </row>
        <row r="1353">
          <cell r="B1353" t="str">
            <v>Add upto 4 drinks</v>
          </cell>
          <cell r="C1353">
            <v>0</v>
          </cell>
        </row>
        <row r="1354">
          <cell r="B1354" t="str">
            <v>Add upto 4 drinks</v>
          </cell>
          <cell r="C1354">
            <v>0</v>
          </cell>
        </row>
        <row r="1355">
          <cell r="B1355" t="str">
            <v>Add upto 4 drinks</v>
          </cell>
          <cell r="C135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tabSelected="1" zoomScale="115" zoomScaleNormal="115" workbookViewId="0">
      <selection activeCell="E11" sqref="E11"/>
    </sheetView>
  </sheetViews>
  <sheetFormatPr defaultRowHeight="14.5" x14ac:dyDescent="0.35"/>
  <cols>
    <col min="1" max="1" width="5.1796875" bestFit="1" customWidth="1"/>
    <col min="2" max="2" width="12.26953125" bestFit="1" customWidth="1"/>
    <col min="3" max="3" width="26.7265625" bestFit="1" customWidth="1"/>
    <col min="4" max="4" width="9.7265625" bestFit="1" customWidth="1"/>
    <col min="5" max="5" width="13.453125" bestFit="1" customWidth="1"/>
    <col min="6" max="6" width="8.7265625" customWidth="1"/>
    <col min="7" max="7" width="6.7265625" bestFit="1" customWidth="1"/>
    <col min="8" max="8" width="8.1796875" bestFit="1" customWidth="1"/>
    <col min="9" max="9" width="8.7265625" customWidth="1"/>
    <col min="10" max="10" width="9.453125" bestFit="1" customWidth="1"/>
    <col min="11" max="11" width="6.36328125" bestFit="1" customWidth="1"/>
    <col min="12" max="12" width="9.26953125" bestFit="1" customWidth="1"/>
    <col min="13" max="13" width="6.7265625" bestFit="1" customWidth="1"/>
    <col min="14" max="14" width="8.1796875" bestFit="1" customWidth="1"/>
    <col min="16" max="18" width="6.4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5</v>
      </c>
      <c r="H1" s="6" t="s">
        <v>6</v>
      </c>
      <c r="J1" s="5" t="s">
        <v>7</v>
      </c>
      <c r="L1" s="5" t="s">
        <v>8</v>
      </c>
      <c r="M1" s="6"/>
      <c r="N1" s="6"/>
      <c r="P1" s="17">
        <v>46118</v>
      </c>
      <c r="Q1" s="17">
        <f>P1+7</f>
        <v>46125</v>
      </c>
      <c r="R1" s="17">
        <f>Q1+7</f>
        <v>46132</v>
      </c>
    </row>
    <row r="2" spans="1:21" x14ac:dyDescent="0.35">
      <c r="A2" s="2">
        <v>1</v>
      </c>
      <c r="B2" s="2" t="s">
        <v>154</v>
      </c>
      <c r="C2" s="2" t="s">
        <v>155</v>
      </c>
      <c r="D2" s="3">
        <v>9.2899999999999991</v>
      </c>
      <c r="E2" s="3">
        <f>VLOOKUP(C2,[1]Sheet1!$B$2:$C$1035,2,0)</f>
        <v>79</v>
      </c>
      <c r="G2">
        <f>IFERROR(((E2-MIN(E2/2,30)-4)*0.7)-$D2,0)</f>
        <v>22.209999999999997</v>
      </c>
      <c r="H2" s="7">
        <f t="shared" ref="H2:H33" si="0">G2/E2</f>
        <v>0.2811392405063291</v>
      </c>
      <c r="J2">
        <f t="shared" ref="J2:J33" si="1">ROUND(IF(D2&lt;=3.2,28+10*(D2),(20/9*D2)+(476/9)),0)</f>
        <v>74</v>
      </c>
      <c r="K2" s="8">
        <f t="shared" ref="K2:K33" si="2">L2-E2</f>
        <v>0</v>
      </c>
      <c r="L2" s="8">
        <f t="shared" ref="L2:L33" si="3">MAX(J2,E2)</f>
        <v>79</v>
      </c>
      <c r="M2">
        <f t="shared" ref="M2:M33" si="4">((L2-(MIN(L2/2,30))-4)*0.7)-D2</f>
        <v>22.209999999999997</v>
      </c>
      <c r="N2" s="7">
        <f t="shared" ref="N2:N33" si="5">M2/L2</f>
        <v>0.2811392405063291</v>
      </c>
      <c r="P2">
        <f>IF(L2&gt;E2,IF(E2+2&lt;=L2,E2+2,L2),E2)</f>
        <v>79</v>
      </c>
      <c r="Q2">
        <f t="shared" ref="Q2:Q33" si="6">IF(P2&lt;$L2,IF(P2+2&lt;=L2,P2+2,L2),P2)</f>
        <v>79</v>
      </c>
      <c r="R2">
        <f t="shared" ref="R2:R33" si="7">IF(Q2&lt;$L2,Q2+2,IF(Q2&gt;=L2,L2,Q2+2))</f>
        <v>79</v>
      </c>
      <c r="T2">
        <f>((D2+2*D2)/0.7)+4</f>
        <v>43.81428571428571</v>
      </c>
      <c r="U2">
        <f>D2/T2</f>
        <v>0.21203130094554939</v>
      </c>
    </row>
    <row r="3" spans="1:21" x14ac:dyDescent="0.35">
      <c r="A3" s="2">
        <v>2</v>
      </c>
      <c r="B3" s="2" t="s">
        <v>154</v>
      </c>
      <c r="C3" s="2" t="s">
        <v>156</v>
      </c>
      <c r="D3" s="3">
        <v>5.97</v>
      </c>
      <c r="E3" s="3">
        <f>VLOOKUP(C3,[1]Sheet1!$B$2:$C$1035,2,0)</f>
        <v>66</v>
      </c>
      <c r="G3">
        <f t="shared" ref="G3:G34" si="8">IFERROR(((E3-MIN(E3/2,30)-4)*0.7)-D3,0)</f>
        <v>16.43</v>
      </c>
      <c r="H3" s="7">
        <f t="shared" si="0"/>
        <v>0.24893939393939393</v>
      </c>
      <c r="J3">
        <f t="shared" si="1"/>
        <v>66</v>
      </c>
      <c r="K3" s="8">
        <f t="shared" si="2"/>
        <v>0</v>
      </c>
      <c r="L3" s="8">
        <f t="shared" si="3"/>
        <v>66</v>
      </c>
      <c r="M3">
        <f t="shared" si="4"/>
        <v>16.43</v>
      </c>
      <c r="N3" s="7">
        <f t="shared" si="5"/>
        <v>0.24893939393939393</v>
      </c>
      <c r="P3">
        <f>IF(L3&gt;E3,IF(E3+2&lt;=L3,E3+2,L3),E3)</f>
        <v>66</v>
      </c>
      <c r="Q3">
        <f t="shared" si="6"/>
        <v>66</v>
      </c>
      <c r="R3">
        <f t="shared" si="7"/>
        <v>66</v>
      </c>
    </row>
    <row r="4" spans="1:21" x14ac:dyDescent="0.35">
      <c r="A4" s="2">
        <v>3</v>
      </c>
      <c r="B4" s="2" t="s">
        <v>154</v>
      </c>
      <c r="C4" s="2" t="s">
        <v>157</v>
      </c>
      <c r="D4" s="3">
        <v>5.41</v>
      </c>
      <c r="E4" s="3">
        <f>VLOOKUP(C4,[1]Sheet1!$B$2:$C$1035,2,0)</f>
        <v>64</v>
      </c>
      <c r="G4">
        <f t="shared" si="8"/>
        <v>15.59</v>
      </c>
      <c r="H4" s="7">
        <f t="shared" si="0"/>
        <v>0.24359375</v>
      </c>
      <c r="J4">
        <f t="shared" si="1"/>
        <v>65</v>
      </c>
      <c r="K4" s="8">
        <f t="shared" si="2"/>
        <v>1</v>
      </c>
      <c r="L4" s="8">
        <f t="shared" si="3"/>
        <v>65</v>
      </c>
      <c r="M4">
        <f t="shared" si="4"/>
        <v>16.29</v>
      </c>
      <c r="N4" s="7">
        <f t="shared" si="5"/>
        <v>0.25061538461538463</v>
      </c>
      <c r="P4">
        <v>65</v>
      </c>
      <c r="Q4">
        <f t="shared" si="6"/>
        <v>65</v>
      </c>
      <c r="R4">
        <f t="shared" si="7"/>
        <v>65</v>
      </c>
    </row>
    <row r="5" spans="1:21" x14ac:dyDescent="0.35">
      <c r="A5" s="2">
        <v>4</v>
      </c>
      <c r="B5" s="2" t="s">
        <v>154</v>
      </c>
      <c r="C5" s="2" t="s">
        <v>158</v>
      </c>
      <c r="D5" s="3">
        <v>5.09</v>
      </c>
      <c r="E5" s="3">
        <f>VLOOKUP(C5,[1]Sheet1!$B$2:$C$1035,2,0)</f>
        <v>59</v>
      </c>
      <c r="G5">
        <f t="shared" si="8"/>
        <v>12.759999999999998</v>
      </c>
      <c r="H5" s="7">
        <f t="shared" si="0"/>
        <v>0.21627118644067794</v>
      </c>
      <c r="J5">
        <f t="shared" si="1"/>
        <v>64</v>
      </c>
      <c r="K5" s="8">
        <f t="shared" si="2"/>
        <v>5</v>
      </c>
      <c r="L5" s="8">
        <f t="shared" si="3"/>
        <v>64</v>
      </c>
      <c r="M5">
        <f t="shared" si="4"/>
        <v>15.91</v>
      </c>
      <c r="N5" s="7">
        <f t="shared" si="5"/>
        <v>0.24859375</v>
      </c>
      <c r="P5">
        <f t="shared" ref="P5:P36" si="9">IF(L5&gt;E5,IF(E5+2&lt;=L5,E5+2,L5),E5)</f>
        <v>61</v>
      </c>
      <c r="Q5">
        <f t="shared" si="6"/>
        <v>63</v>
      </c>
      <c r="R5">
        <f t="shared" si="7"/>
        <v>65</v>
      </c>
    </row>
    <row r="6" spans="1:21" x14ac:dyDescent="0.35">
      <c r="A6" s="2">
        <v>5</v>
      </c>
      <c r="B6" s="2" t="s">
        <v>154</v>
      </c>
      <c r="C6" s="2" t="s">
        <v>159</v>
      </c>
      <c r="D6" s="3">
        <v>6.69</v>
      </c>
      <c r="E6" s="3">
        <f>VLOOKUP(C6,[1]Sheet1!$B$2:$C$1035,2,0)</f>
        <v>74</v>
      </c>
      <c r="G6">
        <f t="shared" si="8"/>
        <v>21.31</v>
      </c>
      <c r="H6" s="7">
        <f t="shared" si="0"/>
        <v>0.28797297297297297</v>
      </c>
      <c r="J6">
        <f t="shared" si="1"/>
        <v>68</v>
      </c>
      <c r="K6" s="8">
        <f t="shared" si="2"/>
        <v>0</v>
      </c>
      <c r="L6" s="8">
        <f t="shared" si="3"/>
        <v>74</v>
      </c>
      <c r="M6">
        <f t="shared" si="4"/>
        <v>21.31</v>
      </c>
      <c r="N6" s="7">
        <f t="shared" si="5"/>
        <v>0.28797297297297297</v>
      </c>
      <c r="P6">
        <f t="shared" si="9"/>
        <v>74</v>
      </c>
      <c r="Q6">
        <f t="shared" si="6"/>
        <v>74</v>
      </c>
      <c r="R6">
        <f t="shared" si="7"/>
        <v>74</v>
      </c>
    </row>
    <row r="7" spans="1:21" x14ac:dyDescent="0.35">
      <c r="A7" s="2">
        <v>6</v>
      </c>
      <c r="B7" s="2" t="s">
        <v>160</v>
      </c>
      <c r="C7" s="2" t="s">
        <v>161</v>
      </c>
      <c r="D7" s="3">
        <v>4.38</v>
      </c>
      <c r="E7" s="3">
        <f>VLOOKUP(C7,[1]Sheet1!$B$2:$C$1035,2,0)</f>
        <v>71</v>
      </c>
      <c r="G7">
        <f t="shared" si="8"/>
        <v>21.52</v>
      </c>
      <c r="H7" s="7">
        <f t="shared" si="0"/>
        <v>0.30309859154929575</v>
      </c>
      <c r="J7">
        <f t="shared" si="1"/>
        <v>63</v>
      </c>
      <c r="K7" s="8">
        <f t="shared" si="2"/>
        <v>0</v>
      </c>
      <c r="L7" s="8">
        <f t="shared" si="3"/>
        <v>71</v>
      </c>
      <c r="M7">
        <f t="shared" si="4"/>
        <v>21.52</v>
      </c>
      <c r="N7" s="7">
        <f t="shared" si="5"/>
        <v>0.30309859154929575</v>
      </c>
      <c r="P7">
        <f t="shared" si="9"/>
        <v>71</v>
      </c>
      <c r="Q7">
        <f t="shared" si="6"/>
        <v>71</v>
      </c>
      <c r="R7">
        <f t="shared" si="7"/>
        <v>71</v>
      </c>
    </row>
    <row r="8" spans="1:21" x14ac:dyDescent="0.35">
      <c r="A8" s="2">
        <v>7</v>
      </c>
      <c r="B8" s="2" t="s">
        <v>160</v>
      </c>
      <c r="C8" s="2" t="s">
        <v>162</v>
      </c>
      <c r="D8" s="3">
        <v>13.08</v>
      </c>
      <c r="E8" s="3">
        <f>VLOOKUP(C8,[1]Sheet1!$B$2:$C$1035,2,0)</f>
        <v>79</v>
      </c>
      <c r="G8">
        <f t="shared" si="8"/>
        <v>18.419999999999995</v>
      </c>
      <c r="H8" s="7">
        <f t="shared" si="0"/>
        <v>0.23316455696202526</v>
      </c>
      <c r="J8">
        <f t="shared" si="1"/>
        <v>82</v>
      </c>
      <c r="K8" s="8">
        <f t="shared" si="2"/>
        <v>3</v>
      </c>
      <c r="L8" s="8">
        <f t="shared" si="3"/>
        <v>82</v>
      </c>
      <c r="M8">
        <f t="shared" si="4"/>
        <v>20.519999999999996</v>
      </c>
      <c r="N8" s="7">
        <f t="shared" si="5"/>
        <v>0.25024390243902433</v>
      </c>
      <c r="P8">
        <f t="shared" si="9"/>
        <v>81</v>
      </c>
      <c r="Q8">
        <f t="shared" si="6"/>
        <v>82</v>
      </c>
      <c r="R8">
        <f t="shared" si="7"/>
        <v>82</v>
      </c>
    </row>
    <row r="9" spans="1:21" x14ac:dyDescent="0.35">
      <c r="A9" s="2">
        <v>8</v>
      </c>
      <c r="B9" s="2" t="s">
        <v>160</v>
      </c>
      <c r="C9" s="2" t="s">
        <v>163</v>
      </c>
      <c r="D9" s="3">
        <v>5.63</v>
      </c>
      <c r="E9" s="3">
        <f>VLOOKUP(C9,[1]Sheet1!$B$2:$C$1035,2,0)</f>
        <v>67</v>
      </c>
      <c r="G9">
        <f t="shared" si="8"/>
        <v>17.47</v>
      </c>
      <c r="H9" s="7">
        <f t="shared" si="0"/>
        <v>0.26074626865671641</v>
      </c>
      <c r="J9">
        <f t="shared" si="1"/>
        <v>65</v>
      </c>
      <c r="K9" s="8">
        <f t="shared" si="2"/>
        <v>0</v>
      </c>
      <c r="L9" s="8">
        <f t="shared" si="3"/>
        <v>67</v>
      </c>
      <c r="M9">
        <f t="shared" si="4"/>
        <v>17.47</v>
      </c>
      <c r="N9" s="7">
        <f t="shared" si="5"/>
        <v>0.26074626865671641</v>
      </c>
      <c r="P9">
        <f t="shared" si="9"/>
        <v>67</v>
      </c>
      <c r="Q9">
        <f t="shared" si="6"/>
        <v>67</v>
      </c>
      <c r="R9">
        <f t="shared" si="7"/>
        <v>67</v>
      </c>
    </row>
    <row r="10" spans="1:21" x14ac:dyDescent="0.35">
      <c r="A10" s="2">
        <v>9</v>
      </c>
      <c r="B10" s="2" t="s">
        <v>160</v>
      </c>
      <c r="C10" s="2" t="s">
        <v>164</v>
      </c>
      <c r="D10" s="3">
        <v>6.19</v>
      </c>
      <c r="E10" s="3">
        <v>71</v>
      </c>
      <c r="G10">
        <f t="shared" si="8"/>
        <v>19.709999999999997</v>
      </c>
      <c r="H10" s="7">
        <f t="shared" si="0"/>
        <v>0.27760563380281689</v>
      </c>
      <c r="J10">
        <f t="shared" si="1"/>
        <v>67</v>
      </c>
      <c r="K10" s="8">
        <f t="shared" si="2"/>
        <v>0</v>
      </c>
      <c r="L10" s="8">
        <f t="shared" si="3"/>
        <v>71</v>
      </c>
      <c r="M10">
        <f t="shared" si="4"/>
        <v>19.709999999999997</v>
      </c>
      <c r="N10" s="7">
        <f t="shared" si="5"/>
        <v>0.27760563380281689</v>
      </c>
      <c r="P10">
        <f t="shared" si="9"/>
        <v>71</v>
      </c>
      <c r="Q10">
        <f t="shared" si="6"/>
        <v>71</v>
      </c>
      <c r="R10">
        <f t="shared" si="7"/>
        <v>71</v>
      </c>
    </row>
    <row r="11" spans="1:21" x14ac:dyDescent="0.35">
      <c r="A11" s="2">
        <v>10</v>
      </c>
      <c r="B11" s="2" t="s">
        <v>160</v>
      </c>
      <c r="C11" s="2" t="s">
        <v>165</v>
      </c>
      <c r="D11" s="3">
        <v>5.98</v>
      </c>
      <c r="E11" s="3">
        <f>VLOOKUP(C11,[1]Sheet1!$B$2:$C$1035,2,0)</f>
        <v>71</v>
      </c>
      <c r="G11">
        <f t="shared" si="8"/>
        <v>19.919999999999998</v>
      </c>
      <c r="H11" s="7">
        <f t="shared" si="0"/>
        <v>0.28056338028169009</v>
      </c>
      <c r="J11">
        <f t="shared" si="1"/>
        <v>66</v>
      </c>
      <c r="K11" s="8">
        <f t="shared" si="2"/>
        <v>0</v>
      </c>
      <c r="L11" s="8">
        <f t="shared" si="3"/>
        <v>71</v>
      </c>
      <c r="M11">
        <f t="shared" si="4"/>
        <v>19.919999999999998</v>
      </c>
      <c r="N11" s="7">
        <f t="shared" si="5"/>
        <v>0.28056338028169009</v>
      </c>
      <c r="P11">
        <f t="shared" si="9"/>
        <v>71</v>
      </c>
      <c r="Q11">
        <f t="shared" si="6"/>
        <v>71</v>
      </c>
      <c r="R11">
        <f t="shared" si="7"/>
        <v>71</v>
      </c>
    </row>
    <row r="12" spans="1:21" x14ac:dyDescent="0.35">
      <c r="A12" s="2">
        <v>11</v>
      </c>
      <c r="B12" s="2" t="s">
        <v>160</v>
      </c>
      <c r="C12" s="2" t="s">
        <v>166</v>
      </c>
      <c r="D12" s="3">
        <v>4.21</v>
      </c>
      <c r="E12" s="3">
        <f>VLOOKUP(C12,[1]Sheet1!$B$2:$C$1035,2,0)</f>
        <v>66</v>
      </c>
      <c r="G12">
        <f t="shared" si="8"/>
        <v>18.189999999999998</v>
      </c>
      <c r="H12" s="7">
        <f t="shared" si="0"/>
        <v>0.27560606060606058</v>
      </c>
      <c r="J12">
        <f t="shared" si="1"/>
        <v>62</v>
      </c>
      <c r="K12" s="8">
        <f t="shared" si="2"/>
        <v>0</v>
      </c>
      <c r="L12" s="8">
        <f t="shared" si="3"/>
        <v>66</v>
      </c>
      <c r="M12">
        <f t="shared" si="4"/>
        <v>18.189999999999998</v>
      </c>
      <c r="N12" s="7">
        <f t="shared" si="5"/>
        <v>0.27560606060606058</v>
      </c>
      <c r="P12">
        <f t="shared" si="9"/>
        <v>66</v>
      </c>
      <c r="Q12">
        <f t="shared" si="6"/>
        <v>66</v>
      </c>
      <c r="R12">
        <f t="shared" si="7"/>
        <v>66</v>
      </c>
    </row>
    <row r="13" spans="1:21" x14ac:dyDescent="0.35">
      <c r="A13" s="2">
        <v>12</v>
      </c>
      <c r="B13" s="2" t="s">
        <v>160</v>
      </c>
      <c r="C13" s="2" t="s">
        <v>167</v>
      </c>
      <c r="D13" s="3">
        <v>5.58</v>
      </c>
      <c r="E13" s="3">
        <f>VLOOKUP(C13,[1]Sheet1!$B$2:$C$1035,2,0)</f>
        <v>74</v>
      </c>
      <c r="G13">
        <f t="shared" si="8"/>
        <v>22.42</v>
      </c>
      <c r="H13" s="7">
        <f t="shared" si="0"/>
        <v>0.30297297297297299</v>
      </c>
      <c r="J13">
        <f t="shared" si="1"/>
        <v>65</v>
      </c>
      <c r="K13" s="8">
        <f t="shared" si="2"/>
        <v>0</v>
      </c>
      <c r="L13" s="8">
        <f t="shared" si="3"/>
        <v>74</v>
      </c>
      <c r="M13">
        <f t="shared" si="4"/>
        <v>22.42</v>
      </c>
      <c r="N13" s="7">
        <f t="shared" si="5"/>
        <v>0.30297297297297299</v>
      </c>
      <c r="P13">
        <f t="shared" si="9"/>
        <v>74</v>
      </c>
      <c r="Q13">
        <f t="shared" si="6"/>
        <v>74</v>
      </c>
      <c r="R13">
        <f t="shared" si="7"/>
        <v>74</v>
      </c>
    </row>
    <row r="14" spans="1:21" x14ac:dyDescent="0.35">
      <c r="A14" s="2">
        <v>13</v>
      </c>
      <c r="B14" s="2" t="s">
        <v>160</v>
      </c>
      <c r="C14" s="2" t="s">
        <v>168</v>
      </c>
      <c r="D14" s="3">
        <v>6.9</v>
      </c>
      <c r="E14" s="3">
        <f>VLOOKUP(C14,[1]Sheet1!$B$2:$C$1035,2,0)</f>
        <v>79</v>
      </c>
      <c r="G14">
        <f t="shared" si="8"/>
        <v>24.599999999999994</v>
      </c>
      <c r="H14" s="7">
        <f t="shared" si="0"/>
        <v>0.31139240506329108</v>
      </c>
      <c r="J14">
        <f t="shared" si="1"/>
        <v>68</v>
      </c>
      <c r="K14" s="8">
        <f t="shared" si="2"/>
        <v>0</v>
      </c>
      <c r="L14" s="8">
        <f t="shared" si="3"/>
        <v>79</v>
      </c>
      <c r="M14">
        <f t="shared" si="4"/>
        <v>24.599999999999994</v>
      </c>
      <c r="N14" s="7">
        <f t="shared" si="5"/>
        <v>0.31139240506329108</v>
      </c>
      <c r="P14">
        <f t="shared" si="9"/>
        <v>79</v>
      </c>
      <c r="Q14">
        <f t="shared" si="6"/>
        <v>79</v>
      </c>
      <c r="R14">
        <f t="shared" si="7"/>
        <v>79</v>
      </c>
    </row>
    <row r="15" spans="1:21" x14ac:dyDescent="0.35">
      <c r="A15" s="2">
        <v>14</v>
      </c>
      <c r="B15" s="2" t="s">
        <v>160</v>
      </c>
      <c r="C15" s="2" t="s">
        <v>169</v>
      </c>
      <c r="D15" s="3">
        <v>6.99</v>
      </c>
      <c r="E15" s="3">
        <f>VLOOKUP(C15,[1]Sheet1!$B$2:$C$1035,2,0)</f>
        <v>86</v>
      </c>
      <c r="G15">
        <f t="shared" si="8"/>
        <v>29.409999999999997</v>
      </c>
      <c r="H15" s="7">
        <f t="shared" si="0"/>
        <v>0.34197674418604646</v>
      </c>
      <c r="J15">
        <f t="shared" si="1"/>
        <v>68</v>
      </c>
      <c r="K15" s="8">
        <f t="shared" si="2"/>
        <v>0</v>
      </c>
      <c r="L15" s="8">
        <f t="shared" si="3"/>
        <v>86</v>
      </c>
      <c r="M15">
        <f t="shared" si="4"/>
        <v>29.409999999999997</v>
      </c>
      <c r="N15" s="7">
        <f t="shared" si="5"/>
        <v>0.34197674418604646</v>
      </c>
      <c r="P15">
        <f t="shared" si="9"/>
        <v>86</v>
      </c>
      <c r="Q15">
        <f t="shared" si="6"/>
        <v>86</v>
      </c>
      <c r="R15">
        <f t="shared" si="7"/>
        <v>86</v>
      </c>
    </row>
    <row r="16" spans="1:21" x14ac:dyDescent="0.35">
      <c r="A16" s="2">
        <v>15</v>
      </c>
      <c r="B16" s="2" t="s">
        <v>170</v>
      </c>
      <c r="C16" s="2" t="s">
        <v>171</v>
      </c>
      <c r="D16" s="3">
        <v>9.23</v>
      </c>
      <c r="E16" s="3">
        <f>VLOOKUP(C16,[1]Sheet1!$B$2:$C$1035,2,0)</f>
        <v>84</v>
      </c>
      <c r="G16">
        <f t="shared" si="8"/>
        <v>25.77</v>
      </c>
      <c r="H16" s="7">
        <f t="shared" si="0"/>
        <v>0.30678571428571427</v>
      </c>
      <c r="J16">
        <f t="shared" si="1"/>
        <v>73</v>
      </c>
      <c r="K16" s="8">
        <f t="shared" si="2"/>
        <v>0</v>
      </c>
      <c r="L16" s="8">
        <f t="shared" si="3"/>
        <v>84</v>
      </c>
      <c r="M16">
        <f t="shared" si="4"/>
        <v>25.77</v>
      </c>
      <c r="N16" s="7">
        <f t="shared" si="5"/>
        <v>0.30678571428571427</v>
      </c>
      <c r="P16">
        <f t="shared" si="9"/>
        <v>84</v>
      </c>
      <c r="Q16">
        <f t="shared" si="6"/>
        <v>84</v>
      </c>
      <c r="R16">
        <f t="shared" si="7"/>
        <v>84</v>
      </c>
    </row>
    <row r="17" spans="1:18" x14ac:dyDescent="0.35">
      <c r="A17" s="2">
        <v>16</v>
      </c>
      <c r="B17" s="2" t="s">
        <v>170</v>
      </c>
      <c r="C17" s="2" t="s">
        <v>172</v>
      </c>
      <c r="D17" s="3">
        <v>6.46</v>
      </c>
      <c r="E17" s="3">
        <f>VLOOKUP(C17,[1]Sheet1!$B$2:$C$1035,2,0)</f>
        <v>69</v>
      </c>
      <c r="G17">
        <f t="shared" si="8"/>
        <v>18.04</v>
      </c>
      <c r="H17" s="7">
        <f t="shared" si="0"/>
        <v>0.26144927536231882</v>
      </c>
      <c r="J17">
        <f t="shared" si="1"/>
        <v>67</v>
      </c>
      <c r="K17" s="8">
        <f t="shared" si="2"/>
        <v>0</v>
      </c>
      <c r="L17" s="8">
        <f t="shared" si="3"/>
        <v>69</v>
      </c>
      <c r="M17">
        <f t="shared" si="4"/>
        <v>18.04</v>
      </c>
      <c r="N17" s="7">
        <f t="shared" si="5"/>
        <v>0.26144927536231882</v>
      </c>
      <c r="P17">
        <f t="shared" si="9"/>
        <v>69</v>
      </c>
      <c r="Q17">
        <f t="shared" si="6"/>
        <v>69</v>
      </c>
      <c r="R17">
        <f t="shared" si="7"/>
        <v>69</v>
      </c>
    </row>
    <row r="18" spans="1:18" x14ac:dyDescent="0.35">
      <c r="A18" s="2">
        <v>17</v>
      </c>
      <c r="B18" s="2" t="s">
        <v>170</v>
      </c>
      <c r="C18" s="2" t="s">
        <v>173</v>
      </c>
      <c r="D18" s="3">
        <v>5.59</v>
      </c>
      <c r="E18" s="3">
        <f>VLOOKUP(C18,[1]Sheet1!$B$2:$C$1035,2,0)</f>
        <v>67</v>
      </c>
      <c r="G18">
        <f t="shared" si="8"/>
        <v>17.509999999999998</v>
      </c>
      <c r="H18" s="7">
        <f t="shared" si="0"/>
        <v>0.26134328358208953</v>
      </c>
      <c r="J18">
        <f t="shared" si="1"/>
        <v>65</v>
      </c>
      <c r="K18" s="8">
        <f t="shared" si="2"/>
        <v>0</v>
      </c>
      <c r="L18" s="8">
        <f t="shared" si="3"/>
        <v>67</v>
      </c>
      <c r="M18">
        <f t="shared" si="4"/>
        <v>17.509999999999998</v>
      </c>
      <c r="N18" s="7">
        <f t="shared" si="5"/>
        <v>0.26134328358208953</v>
      </c>
      <c r="P18">
        <f t="shared" si="9"/>
        <v>67</v>
      </c>
      <c r="Q18">
        <f t="shared" si="6"/>
        <v>67</v>
      </c>
      <c r="R18">
        <f t="shared" si="7"/>
        <v>67</v>
      </c>
    </row>
    <row r="19" spans="1:18" x14ac:dyDescent="0.35">
      <c r="A19" s="2">
        <v>18</v>
      </c>
      <c r="B19" s="2" t="s">
        <v>170</v>
      </c>
      <c r="C19" s="2" t="s">
        <v>174</v>
      </c>
      <c r="D19" s="3">
        <v>7.19</v>
      </c>
      <c r="E19" s="3">
        <f>VLOOKUP(C19,[1]Sheet1!$B$2:$C$1035,2,0)</f>
        <v>72</v>
      </c>
      <c r="G19">
        <f t="shared" si="8"/>
        <v>19.409999999999997</v>
      </c>
      <c r="H19" s="7">
        <f t="shared" si="0"/>
        <v>0.26958333333333329</v>
      </c>
      <c r="J19">
        <f t="shared" si="1"/>
        <v>69</v>
      </c>
      <c r="K19" s="8">
        <f t="shared" si="2"/>
        <v>0</v>
      </c>
      <c r="L19" s="8">
        <f t="shared" si="3"/>
        <v>72</v>
      </c>
      <c r="M19">
        <f t="shared" si="4"/>
        <v>19.409999999999997</v>
      </c>
      <c r="N19" s="7">
        <f t="shared" si="5"/>
        <v>0.26958333333333329</v>
      </c>
      <c r="P19">
        <f t="shared" si="9"/>
        <v>72</v>
      </c>
      <c r="Q19">
        <f t="shared" si="6"/>
        <v>72</v>
      </c>
      <c r="R19">
        <f t="shared" si="7"/>
        <v>72</v>
      </c>
    </row>
    <row r="20" spans="1:18" x14ac:dyDescent="0.35">
      <c r="A20" s="2">
        <v>19</v>
      </c>
      <c r="B20" s="2" t="s">
        <v>175</v>
      </c>
      <c r="C20" s="2" t="s">
        <v>176</v>
      </c>
      <c r="D20" s="3">
        <v>4.63</v>
      </c>
      <c r="E20" s="3">
        <f>VLOOKUP(C20,[1]Sheet1!$B$2:$C$1035,2,0)</f>
        <v>78</v>
      </c>
      <c r="G20">
        <f t="shared" si="8"/>
        <v>26.169999999999998</v>
      </c>
      <c r="H20" s="7">
        <f t="shared" si="0"/>
        <v>0.3355128205128205</v>
      </c>
      <c r="J20">
        <f t="shared" si="1"/>
        <v>63</v>
      </c>
      <c r="K20" s="8">
        <f t="shared" si="2"/>
        <v>0</v>
      </c>
      <c r="L20" s="8">
        <f t="shared" si="3"/>
        <v>78</v>
      </c>
      <c r="M20">
        <f t="shared" si="4"/>
        <v>26.169999999999998</v>
      </c>
      <c r="N20" s="7">
        <f t="shared" si="5"/>
        <v>0.3355128205128205</v>
      </c>
      <c r="P20">
        <f t="shared" si="9"/>
        <v>78</v>
      </c>
      <c r="Q20">
        <f t="shared" si="6"/>
        <v>78</v>
      </c>
      <c r="R20">
        <f t="shared" si="7"/>
        <v>78</v>
      </c>
    </row>
    <row r="21" spans="1:18" x14ac:dyDescent="0.35">
      <c r="A21" s="2">
        <v>20</v>
      </c>
      <c r="B21" s="2" t="s">
        <v>177</v>
      </c>
      <c r="C21" s="2" t="s">
        <v>178</v>
      </c>
      <c r="D21" s="3">
        <v>7.64</v>
      </c>
      <c r="E21" s="3">
        <f>VLOOKUP(C21,[1]Sheet1!$B$2:$C$1035,2,0)</f>
        <v>76</v>
      </c>
      <c r="G21">
        <f t="shared" si="8"/>
        <v>21.759999999999998</v>
      </c>
      <c r="H21" s="7">
        <f t="shared" si="0"/>
        <v>0.28631578947368419</v>
      </c>
      <c r="J21">
        <f t="shared" si="1"/>
        <v>70</v>
      </c>
      <c r="K21" s="8">
        <f t="shared" si="2"/>
        <v>0</v>
      </c>
      <c r="L21" s="8">
        <f t="shared" si="3"/>
        <v>76</v>
      </c>
      <c r="M21">
        <f t="shared" si="4"/>
        <v>21.759999999999998</v>
      </c>
      <c r="N21" s="7">
        <f t="shared" si="5"/>
        <v>0.28631578947368419</v>
      </c>
      <c r="P21">
        <f t="shared" si="9"/>
        <v>76</v>
      </c>
      <c r="Q21">
        <f t="shared" si="6"/>
        <v>76</v>
      </c>
      <c r="R21">
        <f t="shared" si="7"/>
        <v>76</v>
      </c>
    </row>
    <row r="22" spans="1:18" x14ac:dyDescent="0.35">
      <c r="A22" s="2">
        <v>21</v>
      </c>
      <c r="B22" s="2" t="s">
        <v>177</v>
      </c>
      <c r="C22" s="2" t="s">
        <v>179</v>
      </c>
      <c r="D22" s="3">
        <v>6.29</v>
      </c>
      <c r="E22" s="3">
        <f>VLOOKUP(C22,[1]Sheet1!$B$2:$C$1035,2,0)</f>
        <v>79</v>
      </c>
      <c r="G22">
        <f t="shared" si="8"/>
        <v>25.209999999999997</v>
      </c>
      <c r="H22" s="7">
        <f t="shared" si="0"/>
        <v>0.31911392405063288</v>
      </c>
      <c r="J22">
        <f t="shared" si="1"/>
        <v>67</v>
      </c>
      <c r="K22" s="8">
        <f t="shared" si="2"/>
        <v>0</v>
      </c>
      <c r="L22" s="8">
        <f t="shared" si="3"/>
        <v>79</v>
      </c>
      <c r="M22">
        <f t="shared" si="4"/>
        <v>25.209999999999997</v>
      </c>
      <c r="N22" s="7">
        <f t="shared" si="5"/>
        <v>0.31911392405063288</v>
      </c>
      <c r="P22">
        <f t="shared" si="9"/>
        <v>79</v>
      </c>
      <c r="Q22">
        <f t="shared" si="6"/>
        <v>79</v>
      </c>
      <c r="R22">
        <f t="shared" si="7"/>
        <v>79</v>
      </c>
    </row>
    <row r="23" spans="1:18" x14ac:dyDescent="0.35">
      <c r="A23" s="2">
        <v>22</v>
      </c>
      <c r="B23" s="2" t="s">
        <v>177</v>
      </c>
      <c r="C23" s="2" t="s">
        <v>180</v>
      </c>
      <c r="D23" s="3">
        <v>6.18</v>
      </c>
      <c r="E23" s="3">
        <f>VLOOKUP(C23,[1]Sheet1!$B$2:$C$1035,2,0)</f>
        <v>71</v>
      </c>
      <c r="G23">
        <f t="shared" si="8"/>
        <v>19.72</v>
      </c>
      <c r="H23" s="7">
        <f t="shared" si="0"/>
        <v>0.27774647887323944</v>
      </c>
      <c r="J23">
        <f t="shared" si="1"/>
        <v>67</v>
      </c>
      <c r="K23" s="8">
        <f t="shared" si="2"/>
        <v>0</v>
      </c>
      <c r="L23" s="8">
        <f t="shared" si="3"/>
        <v>71</v>
      </c>
      <c r="M23">
        <f t="shared" si="4"/>
        <v>19.72</v>
      </c>
      <c r="N23" s="7">
        <f t="shared" si="5"/>
        <v>0.27774647887323944</v>
      </c>
      <c r="P23">
        <f t="shared" si="9"/>
        <v>71</v>
      </c>
      <c r="Q23">
        <f t="shared" si="6"/>
        <v>71</v>
      </c>
      <c r="R23">
        <f t="shared" si="7"/>
        <v>71</v>
      </c>
    </row>
    <row r="24" spans="1:18" x14ac:dyDescent="0.35">
      <c r="A24" s="2">
        <v>24</v>
      </c>
      <c r="B24" s="2" t="s">
        <v>177</v>
      </c>
      <c r="C24" s="2" t="s">
        <v>181</v>
      </c>
      <c r="D24" s="3">
        <v>7.47</v>
      </c>
      <c r="E24" s="3">
        <f>VLOOKUP(C24,[1]Sheet1!$B$2:$C$1035,2,0)</f>
        <v>76</v>
      </c>
      <c r="G24">
        <f t="shared" si="8"/>
        <v>21.93</v>
      </c>
      <c r="H24" s="7">
        <f t="shared" si="0"/>
        <v>0.28855263157894734</v>
      </c>
      <c r="J24">
        <f t="shared" si="1"/>
        <v>69</v>
      </c>
      <c r="K24" s="8">
        <f t="shared" si="2"/>
        <v>0</v>
      </c>
      <c r="L24" s="8">
        <f t="shared" si="3"/>
        <v>76</v>
      </c>
      <c r="M24">
        <f t="shared" si="4"/>
        <v>21.93</v>
      </c>
      <c r="N24" s="7">
        <f t="shared" si="5"/>
        <v>0.28855263157894734</v>
      </c>
      <c r="P24">
        <f t="shared" si="9"/>
        <v>76</v>
      </c>
      <c r="Q24">
        <f t="shared" si="6"/>
        <v>76</v>
      </c>
      <c r="R24">
        <f t="shared" si="7"/>
        <v>76</v>
      </c>
    </row>
    <row r="25" spans="1:18" x14ac:dyDescent="0.35">
      <c r="A25" s="2">
        <v>25</v>
      </c>
      <c r="B25" s="2" t="s">
        <v>177</v>
      </c>
      <c r="C25" s="2" t="s">
        <v>182</v>
      </c>
      <c r="D25" s="3">
        <v>7.26</v>
      </c>
      <c r="E25" s="3">
        <f>VLOOKUP(C25,[1]Sheet1!$B$2:$C$1035,2,0)</f>
        <v>79</v>
      </c>
      <c r="G25">
        <f t="shared" si="8"/>
        <v>24.239999999999995</v>
      </c>
      <c r="H25" s="7">
        <f t="shared" si="0"/>
        <v>0.30683544303797461</v>
      </c>
      <c r="J25">
        <f t="shared" si="1"/>
        <v>69</v>
      </c>
      <c r="K25" s="8">
        <f t="shared" si="2"/>
        <v>0</v>
      </c>
      <c r="L25" s="8">
        <f t="shared" si="3"/>
        <v>79</v>
      </c>
      <c r="M25">
        <f t="shared" si="4"/>
        <v>24.239999999999995</v>
      </c>
      <c r="N25" s="7">
        <f t="shared" si="5"/>
        <v>0.30683544303797461</v>
      </c>
      <c r="P25">
        <f t="shared" si="9"/>
        <v>79</v>
      </c>
      <c r="Q25">
        <f t="shared" si="6"/>
        <v>79</v>
      </c>
      <c r="R25">
        <f t="shared" si="7"/>
        <v>79</v>
      </c>
    </row>
    <row r="26" spans="1:18" x14ac:dyDescent="0.35">
      <c r="A26" s="2">
        <v>26</v>
      </c>
      <c r="B26" s="2" t="s">
        <v>177</v>
      </c>
      <c r="C26" s="2" t="s">
        <v>183</v>
      </c>
      <c r="D26" s="3">
        <v>7.63</v>
      </c>
      <c r="E26" s="3">
        <f>VLOOKUP(C26,[1]Sheet1!$B$2:$C$1035,2,0)</f>
        <v>78</v>
      </c>
      <c r="G26">
        <f t="shared" si="8"/>
        <v>23.169999999999998</v>
      </c>
      <c r="H26" s="7">
        <f t="shared" si="0"/>
        <v>0.29705128205128201</v>
      </c>
      <c r="J26">
        <f t="shared" si="1"/>
        <v>70</v>
      </c>
      <c r="K26" s="8">
        <f t="shared" si="2"/>
        <v>0</v>
      </c>
      <c r="L26" s="8">
        <f t="shared" si="3"/>
        <v>78</v>
      </c>
      <c r="M26">
        <f t="shared" si="4"/>
        <v>23.169999999999998</v>
      </c>
      <c r="N26" s="7">
        <f t="shared" si="5"/>
        <v>0.29705128205128201</v>
      </c>
      <c r="P26">
        <f t="shared" si="9"/>
        <v>78</v>
      </c>
      <c r="Q26">
        <f t="shared" si="6"/>
        <v>78</v>
      </c>
      <c r="R26">
        <f t="shared" si="7"/>
        <v>78</v>
      </c>
    </row>
    <row r="27" spans="1:18" x14ac:dyDescent="0.35">
      <c r="A27" s="2">
        <v>27</v>
      </c>
      <c r="B27" s="2" t="s">
        <v>184</v>
      </c>
      <c r="C27" s="2" t="s">
        <v>185</v>
      </c>
      <c r="D27" s="3">
        <v>5.26</v>
      </c>
      <c r="E27" s="3">
        <f>VLOOKUP(C27,[1]Sheet1!$B$2:$C$1035,2,0)</f>
        <v>59</v>
      </c>
      <c r="G27">
        <f t="shared" si="8"/>
        <v>12.589999999999998</v>
      </c>
      <c r="H27" s="7">
        <f t="shared" si="0"/>
        <v>0.21338983050847454</v>
      </c>
      <c r="J27">
        <f t="shared" si="1"/>
        <v>65</v>
      </c>
      <c r="K27" s="8">
        <f t="shared" si="2"/>
        <v>6</v>
      </c>
      <c r="L27" s="8">
        <f t="shared" si="3"/>
        <v>65</v>
      </c>
      <c r="M27">
        <f t="shared" si="4"/>
        <v>16.439999999999998</v>
      </c>
      <c r="N27" s="7">
        <f t="shared" si="5"/>
        <v>0.25292307692307686</v>
      </c>
      <c r="P27">
        <f t="shared" si="9"/>
        <v>61</v>
      </c>
      <c r="Q27">
        <f t="shared" si="6"/>
        <v>63</v>
      </c>
      <c r="R27">
        <f t="shared" si="7"/>
        <v>65</v>
      </c>
    </row>
    <row r="28" spans="1:18" x14ac:dyDescent="0.35">
      <c r="A28" s="2">
        <v>28</v>
      </c>
      <c r="B28" s="2" t="s">
        <v>184</v>
      </c>
      <c r="C28" s="2" t="s">
        <v>186</v>
      </c>
      <c r="D28" s="3">
        <v>9.42</v>
      </c>
      <c r="E28" s="3">
        <f>VLOOKUP(C28,[1]Sheet1!$B$2:$C$1035,2,0)</f>
        <v>84</v>
      </c>
      <c r="G28">
        <f t="shared" si="8"/>
        <v>25.58</v>
      </c>
      <c r="H28" s="7">
        <f t="shared" si="0"/>
        <v>0.30452380952380953</v>
      </c>
      <c r="J28">
        <f t="shared" si="1"/>
        <v>74</v>
      </c>
      <c r="K28" s="8">
        <f t="shared" si="2"/>
        <v>0</v>
      </c>
      <c r="L28" s="8">
        <f t="shared" si="3"/>
        <v>84</v>
      </c>
      <c r="M28">
        <f t="shared" si="4"/>
        <v>25.58</v>
      </c>
      <c r="N28" s="7">
        <f t="shared" si="5"/>
        <v>0.30452380952380953</v>
      </c>
      <c r="P28">
        <f t="shared" si="9"/>
        <v>84</v>
      </c>
      <c r="Q28">
        <f t="shared" si="6"/>
        <v>84</v>
      </c>
      <c r="R28">
        <f t="shared" si="7"/>
        <v>84</v>
      </c>
    </row>
    <row r="29" spans="1:18" x14ac:dyDescent="0.35">
      <c r="A29" s="2">
        <v>29</v>
      </c>
      <c r="B29" s="2" t="s">
        <v>184</v>
      </c>
      <c r="C29" s="2" t="s">
        <v>187</v>
      </c>
      <c r="D29" s="3">
        <v>7.62</v>
      </c>
      <c r="E29" s="3">
        <f>VLOOKUP(C29,[1]Sheet1!$B$2:$C$1035,2,0)</f>
        <v>74</v>
      </c>
      <c r="G29">
        <f t="shared" si="8"/>
        <v>20.38</v>
      </c>
      <c r="H29" s="7">
        <f t="shared" si="0"/>
        <v>0.27540540540540537</v>
      </c>
      <c r="J29">
        <f t="shared" si="1"/>
        <v>70</v>
      </c>
      <c r="K29" s="8">
        <f t="shared" si="2"/>
        <v>0</v>
      </c>
      <c r="L29" s="8">
        <f t="shared" si="3"/>
        <v>74</v>
      </c>
      <c r="M29">
        <f t="shared" si="4"/>
        <v>20.38</v>
      </c>
      <c r="N29" s="7">
        <f t="shared" si="5"/>
        <v>0.27540540540540537</v>
      </c>
      <c r="P29">
        <f t="shared" si="9"/>
        <v>74</v>
      </c>
      <c r="Q29">
        <f t="shared" si="6"/>
        <v>74</v>
      </c>
      <c r="R29">
        <f t="shared" si="7"/>
        <v>74</v>
      </c>
    </row>
    <row r="30" spans="1:18" x14ac:dyDescent="0.35">
      <c r="A30" s="2">
        <v>31</v>
      </c>
      <c r="B30" s="2" t="s">
        <v>184</v>
      </c>
      <c r="C30" s="2" t="s">
        <v>188</v>
      </c>
      <c r="D30" s="3">
        <v>6.67</v>
      </c>
      <c r="E30" s="3">
        <f>VLOOKUP(C30,[1]Sheet1!$B$2:$C$1035,2,0)</f>
        <v>69</v>
      </c>
      <c r="G30">
        <f t="shared" si="8"/>
        <v>17.829999999999998</v>
      </c>
      <c r="H30" s="7">
        <f t="shared" si="0"/>
        <v>0.25840579710144923</v>
      </c>
      <c r="J30">
        <f t="shared" si="1"/>
        <v>68</v>
      </c>
      <c r="K30" s="8">
        <f t="shared" si="2"/>
        <v>0</v>
      </c>
      <c r="L30" s="8">
        <f t="shared" si="3"/>
        <v>69</v>
      </c>
      <c r="M30">
        <f t="shared" si="4"/>
        <v>17.829999999999998</v>
      </c>
      <c r="N30" s="7">
        <f t="shared" si="5"/>
        <v>0.25840579710144923</v>
      </c>
      <c r="P30">
        <f t="shared" si="9"/>
        <v>69</v>
      </c>
      <c r="Q30">
        <f t="shared" si="6"/>
        <v>69</v>
      </c>
      <c r="R30">
        <f t="shared" si="7"/>
        <v>69</v>
      </c>
    </row>
    <row r="31" spans="1:18" x14ac:dyDescent="0.35">
      <c r="A31" s="2">
        <v>32</v>
      </c>
      <c r="B31" s="2" t="s">
        <v>189</v>
      </c>
      <c r="C31" s="2" t="s">
        <v>190</v>
      </c>
      <c r="D31" s="3">
        <v>5.24</v>
      </c>
      <c r="E31" s="3">
        <f>VLOOKUP(C31,[1]Sheet1!$B$2:$C$1035,2,0)</f>
        <v>69</v>
      </c>
      <c r="G31">
        <f t="shared" si="8"/>
        <v>19.259999999999998</v>
      </c>
      <c r="H31" s="7">
        <f t="shared" si="0"/>
        <v>0.27913043478260868</v>
      </c>
      <c r="J31">
        <f t="shared" si="1"/>
        <v>65</v>
      </c>
      <c r="K31" s="8">
        <f t="shared" si="2"/>
        <v>0</v>
      </c>
      <c r="L31" s="8">
        <f t="shared" si="3"/>
        <v>69</v>
      </c>
      <c r="M31">
        <f t="shared" si="4"/>
        <v>19.259999999999998</v>
      </c>
      <c r="N31" s="7">
        <f t="shared" si="5"/>
        <v>0.27913043478260868</v>
      </c>
      <c r="P31">
        <f t="shared" si="9"/>
        <v>69</v>
      </c>
      <c r="Q31">
        <f t="shared" si="6"/>
        <v>69</v>
      </c>
      <c r="R31">
        <f t="shared" si="7"/>
        <v>69</v>
      </c>
    </row>
    <row r="32" spans="1:18" x14ac:dyDescent="0.35">
      <c r="A32" s="2">
        <v>33</v>
      </c>
      <c r="B32" s="2" t="s">
        <v>189</v>
      </c>
      <c r="C32" s="2" t="s">
        <v>191</v>
      </c>
      <c r="D32" s="3">
        <v>5.43</v>
      </c>
      <c r="E32" s="3">
        <f>VLOOKUP(C32,[1]Sheet1!$B$2:$C$1035,2,0)</f>
        <v>69</v>
      </c>
      <c r="G32">
        <f t="shared" si="8"/>
        <v>19.07</v>
      </c>
      <c r="H32" s="7">
        <f t="shared" si="0"/>
        <v>0.27637681159420291</v>
      </c>
      <c r="J32">
        <f t="shared" si="1"/>
        <v>65</v>
      </c>
      <c r="K32" s="8">
        <f t="shared" si="2"/>
        <v>0</v>
      </c>
      <c r="L32" s="8">
        <f t="shared" si="3"/>
        <v>69</v>
      </c>
      <c r="M32">
        <f t="shared" si="4"/>
        <v>19.07</v>
      </c>
      <c r="N32" s="7">
        <f t="shared" si="5"/>
        <v>0.27637681159420291</v>
      </c>
      <c r="P32">
        <f t="shared" si="9"/>
        <v>69</v>
      </c>
      <c r="Q32">
        <f t="shared" si="6"/>
        <v>69</v>
      </c>
      <c r="R32">
        <f t="shared" si="7"/>
        <v>69</v>
      </c>
    </row>
    <row r="33" spans="1:18" x14ac:dyDescent="0.35">
      <c r="A33" s="2">
        <v>34</v>
      </c>
      <c r="B33" s="2" t="s">
        <v>189</v>
      </c>
      <c r="C33" s="2" t="s">
        <v>192</v>
      </c>
      <c r="D33" s="3">
        <v>4.75</v>
      </c>
      <c r="E33" s="3">
        <f>VLOOKUP(C33,[1]Sheet1!$B$2:$C$1035,2,0)</f>
        <v>69</v>
      </c>
      <c r="G33">
        <f t="shared" si="8"/>
        <v>19.75</v>
      </c>
      <c r="H33" s="7">
        <f t="shared" si="0"/>
        <v>0.28623188405797101</v>
      </c>
      <c r="J33">
        <f t="shared" si="1"/>
        <v>63</v>
      </c>
      <c r="K33" s="8">
        <f t="shared" si="2"/>
        <v>0</v>
      </c>
      <c r="L33" s="8">
        <f t="shared" si="3"/>
        <v>69</v>
      </c>
      <c r="M33">
        <f t="shared" si="4"/>
        <v>19.75</v>
      </c>
      <c r="N33" s="7">
        <f t="shared" si="5"/>
        <v>0.28623188405797101</v>
      </c>
      <c r="P33">
        <f t="shared" si="9"/>
        <v>69</v>
      </c>
      <c r="Q33">
        <f t="shared" si="6"/>
        <v>69</v>
      </c>
      <c r="R33">
        <f t="shared" si="7"/>
        <v>69</v>
      </c>
    </row>
    <row r="34" spans="1:18" x14ac:dyDescent="0.35">
      <c r="A34" s="2">
        <v>35</v>
      </c>
      <c r="B34" s="2" t="s">
        <v>189</v>
      </c>
      <c r="C34" s="2" t="s">
        <v>193</v>
      </c>
      <c r="D34" s="3">
        <v>5.61</v>
      </c>
      <c r="E34" s="3">
        <f>VLOOKUP(C34,[1]Sheet1!$B$2:$C$1035,2,0)</f>
        <v>69</v>
      </c>
      <c r="G34">
        <f t="shared" si="8"/>
        <v>18.89</v>
      </c>
      <c r="H34" s="7">
        <f t="shared" ref="H34:H65" si="10">G34/E34</f>
        <v>0.27376811594202899</v>
      </c>
      <c r="J34">
        <f t="shared" ref="J34:J51" si="11">ROUND(IF(D34&lt;=3.2,28+10*(D34),(20/9*D34)+(476/9)),0)</f>
        <v>65</v>
      </c>
      <c r="K34" s="8">
        <f t="shared" ref="K34:K65" si="12">L34-E34</f>
        <v>0</v>
      </c>
      <c r="L34" s="8">
        <f t="shared" ref="L34:L66" si="13">MAX(J34,E34)</f>
        <v>69</v>
      </c>
      <c r="M34">
        <f t="shared" ref="M34:M65" si="14">((L34-(MIN(L34/2,30))-4)*0.7)-D34</f>
        <v>18.89</v>
      </c>
      <c r="N34" s="7">
        <f t="shared" ref="N34:N65" si="15">M34/L34</f>
        <v>0.27376811594202899</v>
      </c>
      <c r="P34">
        <f t="shared" si="9"/>
        <v>69</v>
      </c>
      <c r="Q34">
        <f t="shared" ref="Q34:Q65" si="16">IF(P34&lt;$L34,IF(P34+2&lt;=L34,P34+2,L34),P34)</f>
        <v>69</v>
      </c>
      <c r="R34">
        <f t="shared" ref="R34:R65" si="17">IF(Q34&lt;$L34,Q34+2,IF(Q34&gt;=L34,L34,Q34+2))</f>
        <v>69</v>
      </c>
    </row>
    <row r="35" spans="1:18" x14ac:dyDescent="0.35">
      <c r="A35" s="2">
        <v>36</v>
      </c>
      <c r="B35" s="2" t="s">
        <v>189</v>
      </c>
      <c r="C35" s="2" t="s">
        <v>194</v>
      </c>
      <c r="D35" s="3">
        <v>5.49</v>
      </c>
      <c r="E35" s="3">
        <f>E34</f>
        <v>69</v>
      </c>
      <c r="G35">
        <f t="shared" ref="G35:G66" si="18">IFERROR(((E35-MIN(E35/2,30)-4)*0.7)-D35,0)</f>
        <v>19.009999999999998</v>
      </c>
      <c r="H35" s="7">
        <f t="shared" si="10"/>
        <v>0.27550724637681157</v>
      </c>
      <c r="J35">
        <f t="shared" si="11"/>
        <v>65</v>
      </c>
      <c r="K35" s="8">
        <f t="shared" si="12"/>
        <v>0</v>
      </c>
      <c r="L35" s="8">
        <f t="shared" si="13"/>
        <v>69</v>
      </c>
      <c r="M35">
        <f t="shared" si="14"/>
        <v>19.009999999999998</v>
      </c>
      <c r="N35" s="7">
        <f t="shared" si="15"/>
        <v>0.27550724637681157</v>
      </c>
      <c r="P35">
        <f t="shared" si="9"/>
        <v>69</v>
      </c>
      <c r="Q35">
        <f t="shared" si="16"/>
        <v>69</v>
      </c>
      <c r="R35">
        <f t="shared" si="17"/>
        <v>69</v>
      </c>
    </row>
    <row r="36" spans="1:18" x14ac:dyDescent="0.35">
      <c r="A36" s="2">
        <v>37</v>
      </c>
      <c r="B36" s="2" t="s">
        <v>195</v>
      </c>
      <c r="C36" s="2" t="s">
        <v>196</v>
      </c>
      <c r="D36" s="3">
        <v>9.35</v>
      </c>
      <c r="E36" s="3">
        <f>VLOOKUP(C36,[1]Sheet1!$B$2:$C$1035,2,0)</f>
        <v>69</v>
      </c>
      <c r="G36">
        <f t="shared" si="18"/>
        <v>15.15</v>
      </c>
      <c r="H36" s="7">
        <f t="shared" si="10"/>
        <v>0.21956521739130436</v>
      </c>
      <c r="J36">
        <f t="shared" si="11"/>
        <v>74</v>
      </c>
      <c r="K36" s="8">
        <f t="shared" si="12"/>
        <v>5</v>
      </c>
      <c r="L36" s="8">
        <f t="shared" si="13"/>
        <v>74</v>
      </c>
      <c r="M36">
        <f t="shared" si="14"/>
        <v>18.649999999999999</v>
      </c>
      <c r="N36" s="7">
        <f t="shared" si="15"/>
        <v>0.25202702702702701</v>
      </c>
      <c r="P36">
        <f t="shared" si="9"/>
        <v>71</v>
      </c>
      <c r="Q36">
        <f t="shared" si="16"/>
        <v>73</v>
      </c>
      <c r="R36">
        <f t="shared" si="17"/>
        <v>75</v>
      </c>
    </row>
    <row r="37" spans="1:18" x14ac:dyDescent="0.35">
      <c r="A37" s="2">
        <v>38</v>
      </c>
      <c r="B37" s="2" t="s">
        <v>195</v>
      </c>
      <c r="C37" s="2" t="s">
        <v>197</v>
      </c>
      <c r="D37" s="3">
        <v>9.51</v>
      </c>
      <c r="E37" s="3">
        <f>VLOOKUP(C37,[1]Sheet1!$B$2:$C$1035,2,0)</f>
        <v>74</v>
      </c>
      <c r="G37">
        <f t="shared" si="18"/>
        <v>18.490000000000002</v>
      </c>
      <c r="H37" s="7">
        <f t="shared" si="10"/>
        <v>0.24986486486486489</v>
      </c>
      <c r="J37">
        <f t="shared" si="11"/>
        <v>74</v>
      </c>
      <c r="K37" s="8">
        <f t="shared" si="12"/>
        <v>0</v>
      </c>
      <c r="L37" s="8">
        <f t="shared" si="13"/>
        <v>74</v>
      </c>
      <c r="M37">
        <f t="shared" si="14"/>
        <v>18.490000000000002</v>
      </c>
      <c r="N37" s="7">
        <f t="shared" si="15"/>
        <v>0.24986486486486489</v>
      </c>
      <c r="P37">
        <f t="shared" ref="P37:P66" si="19">IF(L37&gt;E37,IF(E37+2&lt;=L37,E37+2,L37),E37)</f>
        <v>74</v>
      </c>
      <c r="Q37">
        <f t="shared" si="16"/>
        <v>74</v>
      </c>
      <c r="R37">
        <f t="shared" si="17"/>
        <v>74</v>
      </c>
    </row>
    <row r="38" spans="1:18" x14ac:dyDescent="0.35">
      <c r="A38" s="2">
        <v>39</v>
      </c>
      <c r="B38" s="2" t="s">
        <v>195</v>
      </c>
      <c r="C38" s="2" t="s">
        <v>198</v>
      </c>
      <c r="D38" s="3">
        <v>9.75</v>
      </c>
      <c r="E38" s="3">
        <f>VLOOKUP(C38,[1]Sheet1!$B$2:$C$1035,2,0)</f>
        <v>74</v>
      </c>
      <c r="G38">
        <f t="shared" si="18"/>
        <v>18.25</v>
      </c>
      <c r="H38" s="7">
        <f t="shared" si="10"/>
        <v>0.24662162162162163</v>
      </c>
      <c r="J38">
        <f t="shared" si="11"/>
        <v>75</v>
      </c>
      <c r="K38" s="8">
        <f t="shared" si="12"/>
        <v>1</v>
      </c>
      <c r="L38" s="8">
        <f t="shared" si="13"/>
        <v>75</v>
      </c>
      <c r="M38">
        <f t="shared" si="14"/>
        <v>18.95</v>
      </c>
      <c r="N38" s="7">
        <f t="shared" si="15"/>
        <v>0.25266666666666665</v>
      </c>
      <c r="P38">
        <f t="shared" si="19"/>
        <v>75</v>
      </c>
      <c r="Q38">
        <f t="shared" si="16"/>
        <v>75</v>
      </c>
      <c r="R38">
        <f t="shared" si="17"/>
        <v>75</v>
      </c>
    </row>
    <row r="39" spans="1:18" x14ac:dyDescent="0.35">
      <c r="A39" s="2">
        <v>40</v>
      </c>
      <c r="B39" s="2" t="s">
        <v>195</v>
      </c>
      <c r="C39" s="2" t="s">
        <v>199</v>
      </c>
      <c r="D39" s="3">
        <v>9.6300000000000008</v>
      </c>
      <c r="E39" s="3">
        <f>VLOOKUP(C39,[1]Sheet1!$B$2:$C$1035,2,0)</f>
        <v>69</v>
      </c>
      <c r="G39">
        <f t="shared" si="18"/>
        <v>14.87</v>
      </c>
      <c r="H39" s="7">
        <f t="shared" si="10"/>
        <v>0.2155072463768116</v>
      </c>
      <c r="J39">
        <f t="shared" si="11"/>
        <v>74</v>
      </c>
      <c r="K39" s="8">
        <f t="shared" si="12"/>
        <v>5</v>
      </c>
      <c r="L39" s="8">
        <f t="shared" si="13"/>
        <v>74</v>
      </c>
      <c r="M39">
        <f t="shared" si="14"/>
        <v>18.369999999999997</v>
      </c>
      <c r="N39" s="7">
        <f t="shared" si="15"/>
        <v>0.24824324324324321</v>
      </c>
      <c r="P39">
        <f t="shared" si="19"/>
        <v>71</v>
      </c>
      <c r="Q39">
        <f t="shared" si="16"/>
        <v>73</v>
      </c>
      <c r="R39">
        <f t="shared" si="17"/>
        <v>75</v>
      </c>
    </row>
    <row r="40" spans="1:18" x14ac:dyDescent="0.35">
      <c r="A40" s="2">
        <v>41</v>
      </c>
      <c r="B40" s="2" t="s">
        <v>200</v>
      </c>
      <c r="C40" s="2" t="s">
        <v>111</v>
      </c>
      <c r="D40" s="3">
        <v>5.94</v>
      </c>
      <c r="E40" s="3">
        <f>VLOOKUP(C40,[1]Sheet1!$B$2:$C$1035,2,0)</f>
        <v>48</v>
      </c>
      <c r="G40">
        <f t="shared" si="18"/>
        <v>8.0599999999999987</v>
      </c>
      <c r="H40" s="7">
        <f t="shared" si="10"/>
        <v>0.16791666666666663</v>
      </c>
      <c r="J40">
        <f t="shared" si="11"/>
        <v>66</v>
      </c>
      <c r="K40" s="8">
        <f t="shared" si="12"/>
        <v>18</v>
      </c>
      <c r="L40" s="8">
        <f t="shared" si="13"/>
        <v>66</v>
      </c>
      <c r="M40">
        <f t="shared" si="14"/>
        <v>16.459999999999997</v>
      </c>
      <c r="N40" s="7">
        <f t="shared" si="15"/>
        <v>0.24939393939393936</v>
      </c>
      <c r="P40">
        <f t="shared" si="19"/>
        <v>50</v>
      </c>
      <c r="Q40">
        <f t="shared" si="16"/>
        <v>52</v>
      </c>
      <c r="R40">
        <f t="shared" si="17"/>
        <v>54</v>
      </c>
    </row>
    <row r="41" spans="1:18" x14ac:dyDescent="0.35">
      <c r="A41" s="2">
        <v>42</v>
      </c>
      <c r="B41" s="2" t="s">
        <v>200</v>
      </c>
      <c r="C41" s="2" t="s">
        <v>201</v>
      </c>
      <c r="D41" s="3">
        <v>7.82</v>
      </c>
      <c r="E41" s="3">
        <f>VLOOKUP(C41,[1]Sheet1!$B$2:$C$1035,2,0)</f>
        <v>82</v>
      </c>
      <c r="G41">
        <f t="shared" si="18"/>
        <v>25.779999999999994</v>
      </c>
      <c r="H41" s="7">
        <f t="shared" si="10"/>
        <v>0.31439024390243897</v>
      </c>
      <c r="J41">
        <f t="shared" si="11"/>
        <v>70</v>
      </c>
      <c r="K41" s="8">
        <f t="shared" si="12"/>
        <v>0</v>
      </c>
      <c r="L41" s="8">
        <f t="shared" si="13"/>
        <v>82</v>
      </c>
      <c r="M41">
        <f t="shared" si="14"/>
        <v>25.779999999999994</v>
      </c>
      <c r="N41" s="7">
        <f t="shared" si="15"/>
        <v>0.31439024390243897</v>
      </c>
      <c r="P41">
        <f t="shared" si="19"/>
        <v>82</v>
      </c>
      <c r="Q41">
        <f t="shared" si="16"/>
        <v>82</v>
      </c>
      <c r="R41">
        <f t="shared" si="17"/>
        <v>82</v>
      </c>
    </row>
    <row r="42" spans="1:18" x14ac:dyDescent="0.35">
      <c r="A42" s="2">
        <v>43</v>
      </c>
      <c r="B42" s="2" t="s">
        <v>200</v>
      </c>
      <c r="C42" t="s">
        <v>827</v>
      </c>
      <c r="D42" s="3">
        <v>6.86</v>
      </c>
      <c r="E42" s="3">
        <f>VLOOKUP(C42,[1]Sheet1!$B$2:$C$1035,2,0)</f>
        <v>84</v>
      </c>
      <c r="G42">
        <f t="shared" si="18"/>
        <v>28.14</v>
      </c>
      <c r="H42" s="7">
        <f t="shared" si="10"/>
        <v>0.33500000000000002</v>
      </c>
      <c r="J42">
        <f t="shared" si="11"/>
        <v>68</v>
      </c>
      <c r="K42" s="8">
        <f t="shared" si="12"/>
        <v>0</v>
      </c>
      <c r="L42" s="8">
        <f t="shared" si="13"/>
        <v>84</v>
      </c>
      <c r="M42">
        <f t="shared" si="14"/>
        <v>28.14</v>
      </c>
      <c r="N42" s="7">
        <f t="shared" si="15"/>
        <v>0.33500000000000002</v>
      </c>
      <c r="P42">
        <f t="shared" si="19"/>
        <v>84</v>
      </c>
      <c r="Q42">
        <f t="shared" si="16"/>
        <v>84</v>
      </c>
      <c r="R42">
        <f t="shared" si="17"/>
        <v>84</v>
      </c>
    </row>
    <row r="43" spans="1:18" x14ac:dyDescent="0.35">
      <c r="A43" s="2">
        <v>44</v>
      </c>
      <c r="B43" s="2" t="s">
        <v>200</v>
      </c>
      <c r="C43" s="2" t="s">
        <v>202</v>
      </c>
      <c r="D43" s="3">
        <v>8.42</v>
      </c>
      <c r="E43" s="3">
        <f>VLOOKUP(C43,[1]Sheet1!$B$2:$C$1035,2,0)</f>
        <v>79</v>
      </c>
      <c r="G43">
        <f t="shared" si="18"/>
        <v>23.08</v>
      </c>
      <c r="H43" s="7">
        <f t="shared" si="10"/>
        <v>0.29215189873417718</v>
      </c>
      <c r="J43">
        <f t="shared" si="11"/>
        <v>72</v>
      </c>
      <c r="K43" s="8">
        <f t="shared" si="12"/>
        <v>0</v>
      </c>
      <c r="L43" s="8">
        <f t="shared" si="13"/>
        <v>79</v>
      </c>
      <c r="M43">
        <f t="shared" si="14"/>
        <v>23.08</v>
      </c>
      <c r="N43" s="7">
        <f t="shared" si="15"/>
        <v>0.29215189873417718</v>
      </c>
      <c r="P43">
        <f t="shared" si="19"/>
        <v>79</v>
      </c>
      <c r="Q43">
        <f t="shared" si="16"/>
        <v>79</v>
      </c>
      <c r="R43">
        <f t="shared" si="17"/>
        <v>79</v>
      </c>
    </row>
    <row r="44" spans="1:18" x14ac:dyDescent="0.35">
      <c r="A44" s="2">
        <v>46</v>
      </c>
      <c r="B44" s="2" t="s">
        <v>200</v>
      </c>
      <c r="C44" s="2" t="s">
        <v>203</v>
      </c>
      <c r="D44" s="3">
        <v>4.3899999999999997</v>
      </c>
      <c r="E44" s="3">
        <f>VLOOKUP(C44,[1]Sheet1!$B$2:$C$1035,2,0)</f>
        <v>48</v>
      </c>
      <c r="G44">
        <f t="shared" si="18"/>
        <v>9.61</v>
      </c>
      <c r="H44" s="7">
        <f t="shared" si="10"/>
        <v>0.20020833333333332</v>
      </c>
      <c r="J44">
        <f t="shared" si="11"/>
        <v>63</v>
      </c>
      <c r="K44" s="8">
        <f t="shared" si="12"/>
        <v>15</v>
      </c>
      <c r="L44" s="8">
        <f t="shared" si="13"/>
        <v>63</v>
      </c>
      <c r="M44">
        <f t="shared" si="14"/>
        <v>15.909999999999997</v>
      </c>
      <c r="N44" s="7">
        <f t="shared" si="15"/>
        <v>0.25253968253968251</v>
      </c>
      <c r="P44">
        <f t="shared" si="19"/>
        <v>50</v>
      </c>
      <c r="Q44">
        <f t="shared" si="16"/>
        <v>52</v>
      </c>
      <c r="R44">
        <f t="shared" si="17"/>
        <v>54</v>
      </c>
    </row>
    <row r="45" spans="1:18" x14ac:dyDescent="0.35">
      <c r="A45" s="2">
        <v>47</v>
      </c>
      <c r="B45" s="2" t="s">
        <v>200</v>
      </c>
      <c r="C45" t="s">
        <v>828</v>
      </c>
      <c r="D45" s="3">
        <v>3.42</v>
      </c>
      <c r="E45" s="3">
        <f>VLOOKUP(C45,[1]Sheet1!$B$2:$C$1035,2,0)</f>
        <v>39</v>
      </c>
      <c r="G45">
        <f t="shared" si="18"/>
        <v>7.43</v>
      </c>
      <c r="H45" s="7">
        <f t="shared" si="10"/>
        <v>0.19051282051282051</v>
      </c>
      <c r="J45">
        <f t="shared" si="11"/>
        <v>60</v>
      </c>
      <c r="K45" s="8">
        <f t="shared" si="12"/>
        <v>21</v>
      </c>
      <c r="L45" s="8">
        <f t="shared" si="13"/>
        <v>60</v>
      </c>
      <c r="M45">
        <f t="shared" si="14"/>
        <v>14.78</v>
      </c>
      <c r="N45" s="7">
        <f t="shared" si="15"/>
        <v>0.24633333333333332</v>
      </c>
      <c r="P45">
        <f t="shared" si="19"/>
        <v>41</v>
      </c>
      <c r="Q45">
        <f t="shared" si="16"/>
        <v>43</v>
      </c>
      <c r="R45">
        <f t="shared" si="17"/>
        <v>45</v>
      </c>
    </row>
    <row r="46" spans="1:18" x14ac:dyDescent="0.35">
      <c r="A46" s="2">
        <v>48</v>
      </c>
      <c r="B46" s="2" t="s">
        <v>204</v>
      </c>
      <c r="C46" s="2" t="s">
        <v>205</v>
      </c>
      <c r="D46" s="3">
        <v>4.84</v>
      </c>
      <c r="E46" s="3">
        <f>VLOOKUP(C46,[1]Sheet1!$B$2:$C$1035,2,0)</f>
        <v>54</v>
      </c>
      <c r="G46">
        <f t="shared" si="18"/>
        <v>11.259999999999998</v>
      </c>
      <c r="H46" s="7">
        <f t="shared" si="10"/>
        <v>0.20851851851851849</v>
      </c>
      <c r="J46">
        <f t="shared" si="11"/>
        <v>64</v>
      </c>
      <c r="K46" s="8">
        <f t="shared" si="12"/>
        <v>10</v>
      </c>
      <c r="L46" s="8">
        <f t="shared" si="13"/>
        <v>64</v>
      </c>
      <c r="M46">
        <f t="shared" si="14"/>
        <v>16.16</v>
      </c>
      <c r="N46" s="7">
        <f t="shared" si="15"/>
        <v>0.2525</v>
      </c>
      <c r="P46">
        <f t="shared" si="19"/>
        <v>56</v>
      </c>
      <c r="Q46">
        <f t="shared" si="16"/>
        <v>58</v>
      </c>
      <c r="R46">
        <f t="shared" si="17"/>
        <v>60</v>
      </c>
    </row>
    <row r="47" spans="1:18" x14ac:dyDescent="0.35">
      <c r="A47" s="2">
        <v>49</v>
      </c>
      <c r="B47" s="2" t="s">
        <v>204</v>
      </c>
      <c r="C47" s="2" t="s">
        <v>206</v>
      </c>
      <c r="D47" s="3">
        <v>5.69</v>
      </c>
      <c r="E47" s="3">
        <f>VLOOKUP(C47,[1]Sheet1!$B$2:$C$1035,2,0)</f>
        <v>74</v>
      </c>
      <c r="G47">
        <f t="shared" si="18"/>
        <v>22.31</v>
      </c>
      <c r="H47" s="7">
        <f t="shared" si="10"/>
        <v>0.30148648648648646</v>
      </c>
      <c r="J47">
        <f t="shared" si="11"/>
        <v>66</v>
      </c>
      <c r="K47" s="8">
        <f t="shared" si="12"/>
        <v>0</v>
      </c>
      <c r="L47" s="8">
        <f t="shared" si="13"/>
        <v>74</v>
      </c>
      <c r="M47">
        <f t="shared" si="14"/>
        <v>22.31</v>
      </c>
      <c r="N47" s="7">
        <f t="shared" si="15"/>
        <v>0.30148648648648646</v>
      </c>
      <c r="P47">
        <f t="shared" si="19"/>
        <v>74</v>
      </c>
      <c r="Q47">
        <f t="shared" si="16"/>
        <v>74</v>
      </c>
      <c r="R47">
        <f t="shared" si="17"/>
        <v>74</v>
      </c>
    </row>
    <row r="48" spans="1:18" x14ac:dyDescent="0.35">
      <c r="A48" s="2">
        <v>50</v>
      </c>
      <c r="B48" s="2" t="s">
        <v>204</v>
      </c>
      <c r="C48" t="s">
        <v>829</v>
      </c>
      <c r="D48" s="3">
        <v>3.72</v>
      </c>
      <c r="E48" s="3">
        <f>VLOOKUP(C48,[1]Sheet1!$B$2:$C$1035,2,0)</f>
        <v>51</v>
      </c>
      <c r="G48">
        <f t="shared" si="18"/>
        <v>11.329999999999998</v>
      </c>
      <c r="H48" s="7">
        <f t="shared" si="10"/>
        <v>0.22215686274509799</v>
      </c>
      <c r="J48">
        <f t="shared" si="11"/>
        <v>61</v>
      </c>
      <c r="K48" s="8">
        <f t="shared" si="12"/>
        <v>10</v>
      </c>
      <c r="L48" s="8">
        <f t="shared" si="13"/>
        <v>61</v>
      </c>
      <c r="M48">
        <f t="shared" si="14"/>
        <v>15.179999999999998</v>
      </c>
      <c r="N48" s="7">
        <f t="shared" si="15"/>
        <v>0.24885245901639341</v>
      </c>
      <c r="P48">
        <f t="shared" si="19"/>
        <v>53</v>
      </c>
      <c r="Q48">
        <f t="shared" si="16"/>
        <v>55</v>
      </c>
      <c r="R48">
        <f t="shared" si="17"/>
        <v>57</v>
      </c>
    </row>
    <row r="49" spans="1:18" x14ac:dyDescent="0.35">
      <c r="A49" s="2">
        <v>51</v>
      </c>
      <c r="B49" s="2" t="s">
        <v>204</v>
      </c>
      <c r="C49" s="2" t="s">
        <v>207</v>
      </c>
      <c r="D49" s="3">
        <v>4.0199999999999996</v>
      </c>
      <c r="E49" s="3">
        <f>VLOOKUP(C49,[1]Sheet1!$B$2:$C$1035,2,0)</f>
        <v>54</v>
      </c>
      <c r="G49">
        <f t="shared" si="18"/>
        <v>12.079999999999998</v>
      </c>
      <c r="H49" s="7">
        <f t="shared" si="10"/>
        <v>0.22370370370370368</v>
      </c>
      <c r="J49">
        <f t="shared" si="11"/>
        <v>62</v>
      </c>
      <c r="K49" s="8">
        <f t="shared" si="12"/>
        <v>8</v>
      </c>
      <c r="L49" s="8">
        <f t="shared" si="13"/>
        <v>62</v>
      </c>
      <c r="M49">
        <f t="shared" si="14"/>
        <v>15.579999999999998</v>
      </c>
      <c r="N49" s="7">
        <f t="shared" si="15"/>
        <v>0.25129032258064515</v>
      </c>
      <c r="P49">
        <f t="shared" si="19"/>
        <v>56</v>
      </c>
      <c r="Q49">
        <f t="shared" si="16"/>
        <v>58</v>
      </c>
      <c r="R49">
        <f t="shared" si="17"/>
        <v>60</v>
      </c>
    </row>
    <row r="50" spans="1:18" x14ac:dyDescent="0.35">
      <c r="A50" s="2">
        <v>52</v>
      </c>
      <c r="B50" s="2" t="s">
        <v>204</v>
      </c>
      <c r="C50" s="2" t="s">
        <v>208</v>
      </c>
      <c r="D50" s="3">
        <v>3.45</v>
      </c>
      <c r="E50" s="3">
        <f>VLOOKUP(C50,[1]Sheet1!$B$2:$C$1035,2,0)</f>
        <v>54</v>
      </c>
      <c r="G50">
        <f t="shared" si="18"/>
        <v>12.649999999999999</v>
      </c>
      <c r="H50" s="7">
        <f t="shared" si="10"/>
        <v>0.23425925925925922</v>
      </c>
      <c r="J50">
        <f t="shared" si="11"/>
        <v>61</v>
      </c>
      <c r="K50" s="8">
        <f t="shared" si="12"/>
        <v>7</v>
      </c>
      <c r="L50" s="8">
        <f t="shared" si="13"/>
        <v>61</v>
      </c>
      <c r="M50">
        <f t="shared" si="14"/>
        <v>15.45</v>
      </c>
      <c r="N50" s="7">
        <f t="shared" si="15"/>
        <v>0.25327868852459018</v>
      </c>
      <c r="P50">
        <f t="shared" si="19"/>
        <v>56</v>
      </c>
      <c r="Q50">
        <f t="shared" si="16"/>
        <v>58</v>
      </c>
      <c r="R50">
        <f t="shared" si="17"/>
        <v>60</v>
      </c>
    </row>
    <row r="51" spans="1:18" x14ac:dyDescent="0.35">
      <c r="A51" s="2">
        <v>53</v>
      </c>
      <c r="B51" s="2" t="s">
        <v>204</v>
      </c>
      <c r="C51" s="2" t="s">
        <v>209</v>
      </c>
      <c r="D51" s="3">
        <v>4.41</v>
      </c>
      <c r="E51" s="3">
        <f>VLOOKUP(C51,[1]Sheet1!$B$2:$C$1035,2,0)</f>
        <v>69</v>
      </c>
      <c r="G51">
        <f t="shared" si="18"/>
        <v>20.09</v>
      </c>
      <c r="H51" s="7">
        <f t="shared" si="10"/>
        <v>0.29115942028985509</v>
      </c>
      <c r="J51">
        <f t="shared" si="11"/>
        <v>63</v>
      </c>
      <c r="K51" s="8">
        <f t="shared" si="12"/>
        <v>0</v>
      </c>
      <c r="L51" s="8">
        <f t="shared" si="13"/>
        <v>69</v>
      </c>
      <c r="M51">
        <f t="shared" si="14"/>
        <v>20.09</v>
      </c>
      <c r="N51" s="7">
        <f t="shared" si="15"/>
        <v>0.29115942028985509</v>
      </c>
      <c r="P51">
        <f t="shared" si="19"/>
        <v>69</v>
      </c>
      <c r="Q51">
        <f t="shared" si="16"/>
        <v>69</v>
      </c>
      <c r="R51">
        <f t="shared" si="17"/>
        <v>69</v>
      </c>
    </row>
    <row r="52" spans="1:18" x14ac:dyDescent="0.35">
      <c r="A52" s="2">
        <v>54</v>
      </c>
      <c r="B52" s="2" t="s">
        <v>210</v>
      </c>
      <c r="C52" s="2" t="s">
        <v>211</v>
      </c>
      <c r="D52" s="3">
        <v>1.82</v>
      </c>
      <c r="E52" s="3" t="e">
        <f>VLOOKUP(C52,[1]Sheet1!$B$2:$C$1035,2,0)</f>
        <v>#N/A</v>
      </c>
      <c r="G52">
        <f t="shared" si="18"/>
        <v>0</v>
      </c>
      <c r="H52" s="7" t="e">
        <f t="shared" si="10"/>
        <v>#N/A</v>
      </c>
      <c r="J52" t="e">
        <f>E52</f>
        <v>#N/A</v>
      </c>
      <c r="K52" s="8" t="e">
        <f t="shared" si="12"/>
        <v>#N/A</v>
      </c>
      <c r="L52" s="8" t="e">
        <f t="shared" si="13"/>
        <v>#N/A</v>
      </c>
      <c r="M52" t="e">
        <f t="shared" si="14"/>
        <v>#N/A</v>
      </c>
      <c r="N52" s="7" t="e">
        <f t="shared" si="15"/>
        <v>#N/A</v>
      </c>
      <c r="P52" t="e">
        <f t="shared" si="19"/>
        <v>#N/A</v>
      </c>
      <c r="Q52" t="e">
        <f t="shared" si="16"/>
        <v>#N/A</v>
      </c>
      <c r="R52" t="e">
        <f t="shared" si="17"/>
        <v>#N/A</v>
      </c>
    </row>
    <row r="53" spans="1:18" x14ac:dyDescent="0.35">
      <c r="A53" s="2">
        <v>55</v>
      </c>
      <c r="B53" s="2" t="s">
        <v>210</v>
      </c>
      <c r="C53" s="2" t="s">
        <v>212</v>
      </c>
      <c r="D53" s="3">
        <v>0.52</v>
      </c>
      <c r="E53" s="3">
        <f>VLOOKUP(C53,[1]Sheet1!$B$2:$C$1035,2,0)</f>
        <v>19</v>
      </c>
      <c r="G53">
        <f t="shared" si="18"/>
        <v>3.3299999999999996</v>
      </c>
      <c r="H53" s="7">
        <f t="shared" si="10"/>
        <v>0.17526315789473682</v>
      </c>
      <c r="J53">
        <f>E53</f>
        <v>19</v>
      </c>
      <c r="K53" s="8">
        <f t="shared" si="12"/>
        <v>0</v>
      </c>
      <c r="L53" s="8">
        <f t="shared" si="13"/>
        <v>19</v>
      </c>
      <c r="M53">
        <f t="shared" si="14"/>
        <v>3.3299999999999996</v>
      </c>
      <c r="N53" s="7">
        <f t="shared" si="15"/>
        <v>0.17526315789473682</v>
      </c>
      <c r="P53">
        <f t="shared" si="19"/>
        <v>19</v>
      </c>
      <c r="Q53">
        <f t="shared" si="16"/>
        <v>19</v>
      </c>
      <c r="R53">
        <f t="shared" si="17"/>
        <v>19</v>
      </c>
    </row>
    <row r="54" spans="1:18" x14ac:dyDescent="0.35">
      <c r="A54" s="2">
        <v>56</v>
      </c>
      <c r="B54" s="2" t="s">
        <v>210</v>
      </c>
      <c r="C54" s="2" t="s">
        <v>213</v>
      </c>
      <c r="D54" s="3">
        <v>0.33</v>
      </c>
      <c r="E54" s="3">
        <f>VLOOKUP(C54,[1]Sheet1!$B$2:$C$1035,2,0)</f>
        <v>19</v>
      </c>
      <c r="G54">
        <f t="shared" si="18"/>
        <v>3.5199999999999996</v>
      </c>
      <c r="H54" s="7">
        <f t="shared" si="10"/>
        <v>0.18526315789473682</v>
      </c>
      <c r="J54">
        <f>E54</f>
        <v>19</v>
      </c>
      <c r="K54" s="8">
        <f t="shared" si="12"/>
        <v>0</v>
      </c>
      <c r="L54" s="8">
        <f t="shared" si="13"/>
        <v>19</v>
      </c>
      <c r="M54">
        <f t="shared" si="14"/>
        <v>3.5199999999999996</v>
      </c>
      <c r="N54" s="7">
        <f t="shared" si="15"/>
        <v>0.18526315789473682</v>
      </c>
      <c r="P54">
        <f t="shared" si="19"/>
        <v>19</v>
      </c>
      <c r="Q54">
        <f t="shared" si="16"/>
        <v>19</v>
      </c>
      <c r="R54">
        <f t="shared" si="17"/>
        <v>19</v>
      </c>
    </row>
    <row r="55" spans="1:18" x14ac:dyDescent="0.35">
      <c r="A55" s="2">
        <v>57</v>
      </c>
      <c r="B55" s="2" t="s">
        <v>210</v>
      </c>
      <c r="C55" s="2" t="s">
        <v>214</v>
      </c>
      <c r="D55" s="3">
        <v>3.02</v>
      </c>
      <c r="E55" s="3" t="e">
        <f>VLOOKUP(C55,[1]Sheet1!$B$2:$C$1035,2,0)</f>
        <v>#N/A</v>
      </c>
      <c r="G55">
        <f t="shared" si="18"/>
        <v>0</v>
      </c>
      <c r="H55" s="7" t="e">
        <f t="shared" si="10"/>
        <v>#N/A</v>
      </c>
      <c r="J55" t="e">
        <f>E55</f>
        <v>#N/A</v>
      </c>
      <c r="K55" s="8" t="e">
        <f t="shared" si="12"/>
        <v>#N/A</v>
      </c>
      <c r="L55" s="8" t="e">
        <f t="shared" si="13"/>
        <v>#N/A</v>
      </c>
      <c r="M55" t="e">
        <f t="shared" si="14"/>
        <v>#N/A</v>
      </c>
      <c r="N55" s="7" t="e">
        <f t="shared" si="15"/>
        <v>#N/A</v>
      </c>
      <c r="P55" t="e">
        <f t="shared" si="19"/>
        <v>#N/A</v>
      </c>
      <c r="Q55" t="e">
        <f t="shared" si="16"/>
        <v>#N/A</v>
      </c>
      <c r="R55" t="e">
        <f t="shared" si="17"/>
        <v>#N/A</v>
      </c>
    </row>
    <row r="56" spans="1:18" x14ac:dyDescent="0.35">
      <c r="A56" s="2">
        <v>58</v>
      </c>
      <c r="B56" s="2" t="s">
        <v>215</v>
      </c>
      <c r="C56" s="2" t="s">
        <v>216</v>
      </c>
      <c r="D56" s="3">
        <v>21.11</v>
      </c>
      <c r="E56" s="3" t="e">
        <f>VLOOKUP(C56,[1]Sheet1!$B$2:$C$1035,2,0)</f>
        <v>#N/A</v>
      </c>
      <c r="G56">
        <f t="shared" si="18"/>
        <v>0</v>
      </c>
      <c r="H56" s="7" t="e">
        <f t="shared" si="10"/>
        <v>#N/A</v>
      </c>
      <c r="J56">
        <f>ROUND(IF(D56&lt;=3.2,28+10*(D56),(20/9*D56)+(476/9)),0)</f>
        <v>100</v>
      </c>
      <c r="K56" s="8" t="e">
        <f t="shared" si="12"/>
        <v>#N/A</v>
      </c>
      <c r="L56" s="8" t="e">
        <f t="shared" si="13"/>
        <v>#N/A</v>
      </c>
      <c r="M56" t="e">
        <f t="shared" si="14"/>
        <v>#N/A</v>
      </c>
      <c r="N56" s="7" t="e">
        <f t="shared" si="15"/>
        <v>#N/A</v>
      </c>
      <c r="P56" t="e">
        <f t="shared" si="19"/>
        <v>#N/A</v>
      </c>
      <c r="Q56" t="e">
        <f t="shared" si="16"/>
        <v>#N/A</v>
      </c>
      <c r="R56" t="e">
        <f t="shared" si="17"/>
        <v>#N/A</v>
      </c>
    </row>
    <row r="57" spans="1:18" x14ac:dyDescent="0.35">
      <c r="A57" s="2">
        <v>59</v>
      </c>
      <c r="B57" s="2" t="s">
        <v>215</v>
      </c>
      <c r="C57" s="2" t="s">
        <v>217</v>
      </c>
      <c r="D57" s="3">
        <v>14.27</v>
      </c>
      <c r="E57" s="3" t="e">
        <f>VLOOKUP(C57,[1]Sheet1!$B$2:$C$1035,2,0)</f>
        <v>#N/A</v>
      </c>
      <c r="G57">
        <f t="shared" si="18"/>
        <v>0</v>
      </c>
      <c r="H57" s="7" t="e">
        <f t="shared" si="10"/>
        <v>#N/A</v>
      </c>
      <c r="J57">
        <f>ROUND(IF(D57&lt;=3.2,28+10*(D57),(20/9*D57)+(476/9)),0)</f>
        <v>85</v>
      </c>
      <c r="K57" s="8" t="e">
        <f t="shared" si="12"/>
        <v>#N/A</v>
      </c>
      <c r="L57" s="8" t="e">
        <f t="shared" si="13"/>
        <v>#N/A</v>
      </c>
      <c r="M57" t="e">
        <f t="shared" si="14"/>
        <v>#N/A</v>
      </c>
      <c r="N57" s="7" t="e">
        <f t="shared" si="15"/>
        <v>#N/A</v>
      </c>
      <c r="P57" t="e">
        <f t="shared" si="19"/>
        <v>#N/A</v>
      </c>
      <c r="Q57" t="e">
        <f t="shared" si="16"/>
        <v>#N/A</v>
      </c>
      <c r="R57" t="e">
        <f t="shared" si="17"/>
        <v>#N/A</v>
      </c>
    </row>
    <row r="58" spans="1:18" x14ac:dyDescent="0.35">
      <c r="A58" s="2">
        <v>60</v>
      </c>
      <c r="B58" s="2" t="s">
        <v>215</v>
      </c>
      <c r="C58" s="2" t="s">
        <v>218</v>
      </c>
      <c r="D58" s="3">
        <v>32.770000000000003</v>
      </c>
      <c r="E58" s="3">
        <f>VLOOKUP(C58,[1]Sheet1!$B$2:$C$1035,2,0)</f>
        <v>154</v>
      </c>
      <c r="G58">
        <f t="shared" si="18"/>
        <v>51.23</v>
      </c>
      <c r="H58" s="7">
        <f t="shared" si="10"/>
        <v>0.33266233766233766</v>
      </c>
      <c r="J58">
        <f>ROUND(IF(D58&lt;=3.2,28+10*(D58),(20/9*D58)+(476/9)),0)</f>
        <v>126</v>
      </c>
      <c r="K58" s="8">
        <f t="shared" si="12"/>
        <v>0</v>
      </c>
      <c r="L58" s="8">
        <f t="shared" si="13"/>
        <v>154</v>
      </c>
      <c r="M58">
        <f t="shared" si="14"/>
        <v>51.23</v>
      </c>
      <c r="N58" s="7">
        <f t="shared" si="15"/>
        <v>0.33266233766233766</v>
      </c>
      <c r="P58">
        <f t="shared" si="19"/>
        <v>154</v>
      </c>
      <c r="Q58">
        <f t="shared" si="16"/>
        <v>154</v>
      </c>
      <c r="R58">
        <f t="shared" si="17"/>
        <v>154</v>
      </c>
    </row>
    <row r="59" spans="1:18" x14ac:dyDescent="0.35">
      <c r="A59" s="2">
        <v>61</v>
      </c>
      <c r="B59" s="2" t="s">
        <v>140</v>
      </c>
      <c r="C59" t="s">
        <v>141</v>
      </c>
      <c r="D59" s="3">
        <v>0.44</v>
      </c>
      <c r="E59" s="3">
        <f>VLOOKUP(C59,[1]Sheet1!$B$2:$C$1035,2,0)</f>
        <v>14</v>
      </c>
      <c r="G59">
        <f t="shared" si="18"/>
        <v>1.6599999999999997</v>
      </c>
      <c r="H59" s="7">
        <f t="shared" si="10"/>
        <v>0.11857142857142855</v>
      </c>
      <c r="J59">
        <f t="shared" ref="J59:J64" si="20">E59</f>
        <v>14</v>
      </c>
      <c r="K59" s="8">
        <f t="shared" si="12"/>
        <v>0</v>
      </c>
      <c r="L59" s="8">
        <f t="shared" si="13"/>
        <v>14</v>
      </c>
      <c r="M59">
        <f t="shared" si="14"/>
        <v>1.6599999999999997</v>
      </c>
      <c r="N59" s="7">
        <f t="shared" si="15"/>
        <v>0.11857142857142855</v>
      </c>
      <c r="P59">
        <f t="shared" si="19"/>
        <v>14</v>
      </c>
      <c r="Q59">
        <f t="shared" si="16"/>
        <v>14</v>
      </c>
      <c r="R59">
        <f t="shared" si="17"/>
        <v>14</v>
      </c>
    </row>
    <row r="60" spans="1:18" x14ac:dyDescent="0.35">
      <c r="A60" s="2">
        <v>62</v>
      </c>
      <c r="B60" s="2" t="s">
        <v>140</v>
      </c>
      <c r="C60" s="2" t="s">
        <v>142</v>
      </c>
      <c r="D60" s="3">
        <v>2.04</v>
      </c>
      <c r="E60" s="3">
        <f>VLOOKUP(C60,[1]Sheet1!$B$2:$C$1035,2,0)</f>
        <v>9</v>
      </c>
      <c r="G60">
        <f t="shared" si="18"/>
        <v>-1.69</v>
      </c>
      <c r="H60" s="7">
        <f t="shared" si="10"/>
        <v>-0.18777777777777777</v>
      </c>
      <c r="J60">
        <f t="shared" si="20"/>
        <v>9</v>
      </c>
      <c r="K60" s="8">
        <f t="shared" si="12"/>
        <v>0</v>
      </c>
      <c r="L60" s="8">
        <f t="shared" si="13"/>
        <v>9</v>
      </c>
      <c r="M60">
        <f t="shared" si="14"/>
        <v>-1.69</v>
      </c>
      <c r="N60" s="7">
        <f t="shared" si="15"/>
        <v>-0.18777777777777777</v>
      </c>
      <c r="P60">
        <f t="shared" si="19"/>
        <v>9</v>
      </c>
      <c r="Q60">
        <f t="shared" si="16"/>
        <v>9</v>
      </c>
      <c r="R60">
        <f t="shared" si="17"/>
        <v>9</v>
      </c>
    </row>
    <row r="61" spans="1:18" x14ac:dyDescent="0.35">
      <c r="A61" s="2">
        <v>63</v>
      </c>
      <c r="B61" s="2" t="s">
        <v>140</v>
      </c>
      <c r="C61" s="2" t="s">
        <v>143</v>
      </c>
      <c r="D61" s="3">
        <v>2.04</v>
      </c>
      <c r="E61" s="3">
        <f>VLOOKUP(C61,[1]Sheet1!$B$2:$C$1035,2,0)</f>
        <v>10</v>
      </c>
      <c r="G61">
        <f t="shared" si="18"/>
        <v>-1.34</v>
      </c>
      <c r="H61" s="7">
        <f t="shared" si="10"/>
        <v>-0.13400000000000001</v>
      </c>
      <c r="J61">
        <f t="shared" si="20"/>
        <v>10</v>
      </c>
      <c r="K61" s="8">
        <f t="shared" si="12"/>
        <v>0</v>
      </c>
      <c r="L61" s="8">
        <f t="shared" si="13"/>
        <v>10</v>
      </c>
      <c r="M61">
        <f t="shared" si="14"/>
        <v>-1.34</v>
      </c>
      <c r="N61" s="7">
        <f t="shared" si="15"/>
        <v>-0.13400000000000001</v>
      </c>
      <c r="P61">
        <f t="shared" si="19"/>
        <v>10</v>
      </c>
      <c r="Q61">
        <f t="shared" si="16"/>
        <v>10</v>
      </c>
      <c r="R61">
        <f t="shared" si="17"/>
        <v>10</v>
      </c>
    </row>
    <row r="62" spans="1:18" x14ac:dyDescent="0.35">
      <c r="A62" s="2">
        <v>64</v>
      </c>
      <c r="B62" s="2" t="s">
        <v>140</v>
      </c>
      <c r="C62" s="2" t="s">
        <v>146</v>
      </c>
      <c r="D62" s="3">
        <v>2.04</v>
      </c>
      <c r="E62" s="3">
        <f>VLOOKUP(C62,[1]Sheet1!$B$2:$C$1035,2,0)</f>
        <v>9</v>
      </c>
      <c r="G62">
        <f t="shared" si="18"/>
        <v>-1.69</v>
      </c>
      <c r="H62" s="7">
        <f t="shared" si="10"/>
        <v>-0.18777777777777777</v>
      </c>
      <c r="J62">
        <f t="shared" si="20"/>
        <v>9</v>
      </c>
      <c r="K62" s="8">
        <f t="shared" si="12"/>
        <v>0</v>
      </c>
      <c r="L62" s="8">
        <f t="shared" si="13"/>
        <v>9</v>
      </c>
      <c r="M62">
        <f t="shared" si="14"/>
        <v>-1.69</v>
      </c>
      <c r="N62" s="7">
        <f t="shared" si="15"/>
        <v>-0.18777777777777777</v>
      </c>
      <c r="P62">
        <f t="shared" si="19"/>
        <v>9</v>
      </c>
      <c r="Q62">
        <f t="shared" si="16"/>
        <v>9</v>
      </c>
      <c r="R62">
        <f t="shared" si="17"/>
        <v>9</v>
      </c>
    </row>
    <row r="63" spans="1:18" x14ac:dyDescent="0.35">
      <c r="A63" s="2">
        <v>65</v>
      </c>
      <c r="B63" s="2" t="s">
        <v>140</v>
      </c>
      <c r="C63" s="2" t="s">
        <v>144</v>
      </c>
      <c r="D63" s="3">
        <v>2.04</v>
      </c>
      <c r="E63" s="3">
        <f>VLOOKUP(C63,[1]Sheet1!$B$2:$C$1035,2,0)</f>
        <v>9</v>
      </c>
      <c r="G63">
        <f t="shared" si="18"/>
        <v>-1.69</v>
      </c>
      <c r="H63" s="7">
        <f t="shared" si="10"/>
        <v>-0.18777777777777777</v>
      </c>
      <c r="J63">
        <f t="shared" si="20"/>
        <v>9</v>
      </c>
      <c r="K63" s="8">
        <f t="shared" si="12"/>
        <v>0</v>
      </c>
      <c r="L63" s="8">
        <f t="shared" si="13"/>
        <v>9</v>
      </c>
      <c r="M63">
        <f t="shared" si="14"/>
        <v>-1.69</v>
      </c>
      <c r="N63" s="7">
        <f t="shared" si="15"/>
        <v>-0.18777777777777777</v>
      </c>
      <c r="P63">
        <f t="shared" si="19"/>
        <v>9</v>
      </c>
      <c r="Q63">
        <f t="shared" si="16"/>
        <v>9</v>
      </c>
      <c r="R63">
        <f t="shared" si="17"/>
        <v>9</v>
      </c>
    </row>
    <row r="64" spans="1:18" x14ac:dyDescent="0.35">
      <c r="A64" s="2">
        <v>66</v>
      </c>
      <c r="B64" s="2" t="s">
        <v>140</v>
      </c>
      <c r="C64" s="2" t="s">
        <v>145</v>
      </c>
      <c r="D64" s="3">
        <v>2.04</v>
      </c>
      <c r="E64" s="3">
        <f>VLOOKUP(C64,[1]Sheet1!$B$2:$C$1035,2,0)</f>
        <v>10</v>
      </c>
      <c r="G64">
        <f t="shared" si="18"/>
        <v>-1.34</v>
      </c>
      <c r="H64" s="7">
        <f t="shared" si="10"/>
        <v>-0.13400000000000001</v>
      </c>
      <c r="J64">
        <f t="shared" si="20"/>
        <v>10</v>
      </c>
      <c r="K64" s="8">
        <f t="shared" si="12"/>
        <v>0</v>
      </c>
      <c r="L64" s="8">
        <f t="shared" si="13"/>
        <v>10</v>
      </c>
      <c r="M64">
        <f t="shared" si="14"/>
        <v>-1.34</v>
      </c>
      <c r="N64" s="7">
        <f t="shared" si="15"/>
        <v>-0.13400000000000001</v>
      </c>
      <c r="P64">
        <f t="shared" si="19"/>
        <v>10</v>
      </c>
      <c r="Q64">
        <f t="shared" si="16"/>
        <v>10</v>
      </c>
      <c r="R64">
        <f t="shared" si="17"/>
        <v>10</v>
      </c>
    </row>
    <row r="65" spans="1:18" x14ac:dyDescent="0.35">
      <c r="A65" s="2">
        <v>67</v>
      </c>
      <c r="B65" s="2" t="s">
        <v>200</v>
      </c>
      <c r="C65" s="2" t="s">
        <v>153</v>
      </c>
      <c r="D65" s="3">
        <v>4.88</v>
      </c>
      <c r="E65" s="3">
        <f>VLOOKUP(C65,[1]Sheet1!$B$2:$C$1035,2,0)</f>
        <v>49</v>
      </c>
      <c r="G65">
        <f t="shared" si="18"/>
        <v>9.4699999999999989</v>
      </c>
      <c r="H65" s="7">
        <f t="shared" si="10"/>
        <v>0.19326530612244897</v>
      </c>
      <c r="J65">
        <f>ROUND(IF(D65&lt;=3.2,28+10*(D65),(20/9*D65)+(476/9)),0)</f>
        <v>64</v>
      </c>
      <c r="K65" s="8">
        <f t="shared" si="12"/>
        <v>15</v>
      </c>
      <c r="L65" s="8">
        <f t="shared" si="13"/>
        <v>64</v>
      </c>
      <c r="M65">
        <f t="shared" si="14"/>
        <v>16.12</v>
      </c>
      <c r="N65" s="7">
        <f t="shared" si="15"/>
        <v>0.25187500000000002</v>
      </c>
      <c r="P65">
        <f t="shared" si="19"/>
        <v>51</v>
      </c>
      <c r="Q65">
        <f t="shared" si="16"/>
        <v>53</v>
      </c>
      <c r="R65">
        <f t="shared" si="17"/>
        <v>55</v>
      </c>
    </row>
    <row r="66" spans="1:18" x14ac:dyDescent="0.35">
      <c r="A66" s="2">
        <v>68</v>
      </c>
      <c r="B66" s="2" t="s">
        <v>200</v>
      </c>
      <c r="C66" s="2" t="s">
        <v>152</v>
      </c>
      <c r="D66" s="3">
        <v>1.87</v>
      </c>
      <c r="E66" s="3">
        <f>VLOOKUP(C66,[1]Sheet1!$B$2:$C$1035,2,0)</f>
        <v>36</v>
      </c>
      <c r="G66">
        <f t="shared" si="18"/>
        <v>7.9299999999999988</v>
      </c>
      <c r="H66" s="7">
        <f t="shared" ref="H66:H97" si="21">G66/E66</f>
        <v>0.22027777777777774</v>
      </c>
      <c r="J66">
        <f>ROUND(IF(D66&lt;=3.2,28+10*(D66),(20/9*D66)+(476/9)),0)</f>
        <v>47</v>
      </c>
      <c r="K66" s="8">
        <f t="shared" ref="K66:K97" si="22">L66-E66</f>
        <v>11</v>
      </c>
      <c r="L66" s="8">
        <f t="shared" si="13"/>
        <v>47</v>
      </c>
      <c r="M66">
        <f t="shared" ref="M66:M97" si="23">((L66-(MIN(L66/2,30))-4)*0.7)-D66</f>
        <v>11.779999999999998</v>
      </c>
      <c r="N66" s="7">
        <f t="shared" ref="N66:N97" si="24">M66/L66</f>
        <v>0.25063829787234038</v>
      </c>
      <c r="P66">
        <f t="shared" si="19"/>
        <v>38</v>
      </c>
      <c r="Q66">
        <f t="shared" ref="Q66:Q97" si="25">IF(P66&lt;$L66,IF(P66+2&lt;=L66,P66+2,L66),P66)</f>
        <v>40</v>
      </c>
      <c r="R66">
        <f t="shared" ref="R66:R97" si="26">IF(Q66&lt;$L66,Q66+2,IF(Q66&gt;=L66,L66,Q66+2))</f>
        <v>42</v>
      </c>
    </row>
  </sheetData>
  <conditionalFormatting sqref="L2:L66">
    <cfRule type="cellIs" dxfId="17" priority="1" operator="greaterThan">
      <formula>E2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9"/>
  <sheetViews>
    <sheetView workbookViewId="0">
      <selection activeCell="P2" sqref="P2:P6"/>
    </sheetView>
  </sheetViews>
  <sheetFormatPr defaultRowHeight="14.5" x14ac:dyDescent="0.35"/>
  <cols>
    <col min="1" max="1" width="5.1796875" bestFit="1" customWidth="1"/>
    <col min="2" max="2" width="29.90625" bestFit="1" customWidth="1"/>
    <col min="3" max="3" width="13.54296875" bestFit="1" customWidth="1"/>
    <col min="4" max="4" width="13.90625" bestFit="1" customWidth="1"/>
    <col min="5" max="5" width="13.453125" bestFit="1" customWidth="1"/>
    <col min="7" max="7" width="6.7265625" bestFit="1" customWidth="1"/>
    <col min="8" max="8" width="8.1796875" bestFit="1" customWidth="1"/>
    <col min="10" max="10" width="9.453125" bestFit="1" customWidth="1"/>
    <col min="11" max="11" width="6.36328125" bestFit="1" customWidth="1"/>
    <col min="12" max="12" width="9.26953125" bestFit="1" customWidth="1"/>
    <col min="13" max="13" width="6.7265625" bestFit="1" customWidth="1"/>
    <col min="14" max="14" width="8.1796875" bestFit="1" customWidth="1"/>
    <col min="16" max="18" width="6.453125" bestFit="1" customWidth="1"/>
  </cols>
  <sheetData>
    <row r="1" spans="1:18" x14ac:dyDescent="0.35">
      <c r="A1" s="10" t="s">
        <v>0</v>
      </c>
      <c r="B1" s="10" t="s">
        <v>219</v>
      </c>
      <c r="C1" s="10" t="s">
        <v>220</v>
      </c>
      <c r="D1" s="10" t="s">
        <v>221</v>
      </c>
      <c r="E1" s="10" t="s">
        <v>4</v>
      </c>
      <c r="F1" s="11"/>
      <c r="G1" s="6" t="s">
        <v>5</v>
      </c>
      <c r="H1" s="6" t="s">
        <v>6</v>
      </c>
      <c r="J1" s="5" t="s">
        <v>7</v>
      </c>
      <c r="L1" s="5" t="s">
        <v>8</v>
      </c>
      <c r="M1" s="6"/>
      <c r="N1" s="6"/>
      <c r="P1" s="17">
        <v>46118</v>
      </c>
      <c r="Q1" s="17">
        <f>P1+7</f>
        <v>46125</v>
      </c>
      <c r="R1" s="17">
        <f>Q1+7</f>
        <v>46132</v>
      </c>
    </row>
    <row r="2" spans="1:18" x14ac:dyDescent="0.35">
      <c r="A2" s="2">
        <v>1</v>
      </c>
      <c r="B2" s="2" t="s">
        <v>222</v>
      </c>
      <c r="C2" s="3">
        <v>10.09</v>
      </c>
      <c r="D2" s="3">
        <v>20.81</v>
      </c>
      <c r="E2" s="4">
        <v>72</v>
      </c>
      <c r="G2">
        <f>IFERROR(((E2-MIN(E2/2,30)-4)*0.7)-$D2,0)</f>
        <v>5.7899999999999991</v>
      </c>
      <c r="H2" s="7">
        <f>G2/E2</f>
        <v>8.041666666666665E-2</v>
      </c>
      <c r="J2">
        <f>ROUND(IF(D2&lt;=3.2,28+10*(D2),(20/9*D2)+(476/9)),0)</f>
        <v>99</v>
      </c>
      <c r="K2" s="8">
        <f>L2-E2</f>
        <v>27</v>
      </c>
      <c r="L2" s="8">
        <f>MAX(J2,E2)</f>
        <v>99</v>
      </c>
      <c r="M2">
        <f>((L2-(MIN(L2/2,30))-4)*0.7)-D2</f>
        <v>24.69</v>
      </c>
      <c r="N2" s="7">
        <f>M2/L2</f>
        <v>0.24939393939393942</v>
      </c>
      <c r="P2">
        <f>IF(L2&gt;E2,E2+ROUND((J2-E2)/3,0),E2)</f>
        <v>81</v>
      </c>
      <c r="Q2">
        <f>IF(J2&gt;P2,P2+ROUND((J2-P2)/2,0),E2)</f>
        <v>90</v>
      </c>
      <c r="R2">
        <f>IF(Q2&lt;$L2,L2,Q2)</f>
        <v>99</v>
      </c>
    </row>
    <row r="3" spans="1:18" x14ac:dyDescent="0.35">
      <c r="A3" s="2">
        <v>2</v>
      </c>
      <c r="B3" s="2" t="s">
        <v>223</v>
      </c>
      <c r="C3" s="3">
        <v>24.93</v>
      </c>
      <c r="D3" s="3">
        <v>47.23</v>
      </c>
      <c r="E3" s="4">
        <v>122</v>
      </c>
      <c r="G3">
        <f>IFERROR(((E3-MIN(E3/2,30)-4)*0.7)-D3,0)</f>
        <v>14.369999999999997</v>
      </c>
      <c r="H3" s="7">
        <f>G3/E3</f>
        <v>0.11778688524590161</v>
      </c>
      <c r="J3">
        <f>ROUND(IF(D3&lt;=3.2,28+10*(D3),(20/9*D3)+(476/9)),0)</f>
        <v>158</v>
      </c>
      <c r="K3" s="8">
        <f>L3-E3</f>
        <v>36</v>
      </c>
      <c r="L3" s="8">
        <f>MAX(J3,E3)</f>
        <v>158</v>
      </c>
      <c r="M3">
        <f>((L3-(MIN(L3/2,30))-4)*0.7)-D3</f>
        <v>39.57</v>
      </c>
      <c r="N3" s="7">
        <f>M3/L3</f>
        <v>0.25044303797468354</v>
      </c>
      <c r="P3">
        <f>IF(L3&gt;E3,E3+ROUND((J3-E3)/3,0),E3)</f>
        <v>134</v>
      </c>
      <c r="Q3">
        <f>IF(J3&gt;P3,P3+ROUND((J3-P3)/2,0),E3)</f>
        <v>146</v>
      </c>
      <c r="R3">
        <f>IF(Q3&lt;$L3,L3,Q3)</f>
        <v>158</v>
      </c>
    </row>
    <row r="4" spans="1:18" x14ac:dyDescent="0.35">
      <c r="A4" s="2">
        <v>3</v>
      </c>
      <c r="B4" s="2" t="s">
        <v>224</v>
      </c>
      <c r="C4" s="3">
        <v>37.07</v>
      </c>
      <c r="D4" s="3">
        <v>77.47</v>
      </c>
      <c r="E4" s="4">
        <v>193</v>
      </c>
      <c r="G4">
        <f>IFERROR(((E4-MIN(E4/2,30)-4)*0.7)-D4,0)</f>
        <v>33.83</v>
      </c>
      <c r="H4" s="7">
        <f>G4/E4</f>
        <v>0.17528497409326424</v>
      </c>
      <c r="J4">
        <f>ROUND(IF(D4&lt;=3.2,28+10*(D4),(20/9*D4)+(476/9)),0)</f>
        <v>225</v>
      </c>
      <c r="K4" s="8">
        <f>L4-E4</f>
        <v>32</v>
      </c>
      <c r="L4" s="8">
        <f>MAX(J4,E4)</f>
        <v>225</v>
      </c>
      <c r="M4">
        <f>((L4-(MIN(L4/2,30))-4)*0.7)-D4</f>
        <v>56.22999999999999</v>
      </c>
      <c r="N4" s="7">
        <f>M4/L4</f>
        <v>0.24991111111111106</v>
      </c>
      <c r="P4">
        <f>IF(L4&gt;E4,E4+ROUND((J4-E4)/3,0),E4)</f>
        <v>204</v>
      </c>
      <c r="Q4">
        <f>IF(J4&gt;P4,P4+ROUND((J4-P4)/2,0),E4)</f>
        <v>215</v>
      </c>
      <c r="R4">
        <f>IF(Q4&lt;$L4,L4,Q4)</f>
        <v>225</v>
      </c>
    </row>
    <row r="5" spans="1:18" x14ac:dyDescent="0.35">
      <c r="A5" s="2">
        <v>4</v>
      </c>
      <c r="B5" s="2" t="s">
        <v>225</v>
      </c>
      <c r="C5" s="3">
        <v>43.54</v>
      </c>
      <c r="D5" s="3">
        <v>90.78</v>
      </c>
      <c r="E5" s="4">
        <v>329</v>
      </c>
      <c r="G5">
        <f>IFERROR(((E5-MIN(E5/2,30)-4)*0.7)-D5,0)</f>
        <v>115.72</v>
      </c>
      <c r="H5" s="7">
        <f>G5/E5</f>
        <v>0.35173252279635259</v>
      </c>
      <c r="J5">
        <f>ROUND(IF(D5&lt;=3.2,28+10*(D5),(20/9*D5)+(476/9)),0)</f>
        <v>255</v>
      </c>
      <c r="K5" s="8">
        <f>L5-E5</f>
        <v>0</v>
      </c>
      <c r="L5" s="8">
        <f>MAX(J5,E5)</f>
        <v>329</v>
      </c>
      <c r="M5">
        <f>((L5-(MIN(L5/2,30))-4)*0.7)-D5</f>
        <v>115.72</v>
      </c>
      <c r="N5" s="7">
        <f>M5/L5</f>
        <v>0.35173252279635259</v>
      </c>
      <c r="P5">
        <v>255</v>
      </c>
      <c r="Q5">
        <v>255</v>
      </c>
      <c r="R5">
        <v>255</v>
      </c>
    </row>
    <row r="6" spans="1:18" x14ac:dyDescent="0.35">
      <c r="A6" s="2">
        <v>5</v>
      </c>
      <c r="B6" s="2" t="s">
        <v>226</v>
      </c>
      <c r="C6" s="3">
        <v>8.1</v>
      </c>
      <c r="D6" s="3">
        <v>11.35</v>
      </c>
      <c r="E6" s="4">
        <v>139</v>
      </c>
      <c r="G6">
        <f>IFERROR(((E6-MIN(E6/2,30)-4)*0.7)-D6,0)</f>
        <v>62.15</v>
      </c>
      <c r="H6" s="7">
        <f>G6/E6</f>
        <v>0.44712230215827337</v>
      </c>
      <c r="J6">
        <f>ROUND(IF(D6&lt;=3.2,28+10*(D6),(20/9*D6)+(476/9)),0)</f>
        <v>78</v>
      </c>
      <c r="K6" s="8">
        <f>L6-E6</f>
        <v>0</v>
      </c>
      <c r="L6" s="8">
        <f>MAX(J6,E6)</f>
        <v>139</v>
      </c>
      <c r="M6">
        <f>((L6-(MIN(L6/2,30))-4)*0.7)-D6</f>
        <v>62.15</v>
      </c>
      <c r="N6" s="7">
        <f>M6/L6</f>
        <v>0.44712230215827337</v>
      </c>
      <c r="P6">
        <v>78</v>
      </c>
      <c r="Q6">
        <f>IF(J6&gt;P6,P6+ROUND((J6-P6)/2,0),E6)</f>
        <v>139</v>
      </c>
      <c r="R6">
        <f>IF(Q6&lt;$L6,L6,Q6)</f>
        <v>139</v>
      </c>
    </row>
    <row r="7" spans="1:18" x14ac:dyDescent="0.35">
      <c r="H7" s="7"/>
      <c r="K7" s="8"/>
      <c r="L7" s="8"/>
      <c r="N7" s="7"/>
    </row>
    <row r="8" spans="1:18" x14ac:dyDescent="0.35">
      <c r="H8" s="7"/>
      <c r="K8" s="8"/>
      <c r="L8" s="8"/>
      <c r="N8" s="7"/>
    </row>
    <row r="9" spans="1:18" x14ac:dyDescent="0.35">
      <c r="H9" s="7"/>
      <c r="K9" s="8"/>
      <c r="L9" s="8"/>
      <c r="N9" s="7"/>
    </row>
    <row r="10" spans="1:18" x14ac:dyDescent="0.35">
      <c r="H10" s="7"/>
      <c r="K10" s="8"/>
      <c r="L10" s="8"/>
      <c r="N10" s="7"/>
    </row>
    <row r="11" spans="1:18" x14ac:dyDescent="0.35">
      <c r="H11" s="7"/>
      <c r="K11" s="8"/>
      <c r="L11" s="8"/>
      <c r="N11" s="7"/>
    </row>
    <row r="12" spans="1:18" x14ac:dyDescent="0.35">
      <c r="H12" s="7"/>
      <c r="K12" s="8"/>
      <c r="L12" s="8"/>
      <c r="N12" s="7"/>
    </row>
    <row r="13" spans="1:18" x14ac:dyDescent="0.35">
      <c r="H13" s="7"/>
      <c r="K13" s="8"/>
      <c r="L13" s="8"/>
      <c r="N13" s="7"/>
    </row>
    <row r="14" spans="1:18" x14ac:dyDescent="0.35">
      <c r="H14" s="7"/>
      <c r="K14" s="8"/>
      <c r="L14" s="8"/>
      <c r="N14" s="7"/>
    </row>
    <row r="15" spans="1:18" x14ac:dyDescent="0.35">
      <c r="H15" s="7"/>
      <c r="K15" s="8"/>
      <c r="L15" s="8"/>
      <c r="N15" s="7"/>
    </row>
    <row r="16" spans="1:18" x14ac:dyDescent="0.35">
      <c r="H16" s="7"/>
      <c r="K16" s="8"/>
      <c r="L16" s="8"/>
      <c r="N16" s="7"/>
    </row>
    <row r="17" spans="8:14" x14ac:dyDescent="0.35">
      <c r="H17" s="7"/>
      <c r="K17" s="8"/>
      <c r="L17" s="8"/>
      <c r="N17" s="7"/>
    </row>
    <row r="18" spans="8:14" x14ac:dyDescent="0.35">
      <c r="H18" s="7"/>
      <c r="K18" s="8"/>
      <c r="L18" s="8"/>
      <c r="N18" s="7"/>
    </row>
    <row r="19" spans="8:14" x14ac:dyDescent="0.35">
      <c r="H19" s="7"/>
      <c r="K19" s="8"/>
      <c r="L19" s="8"/>
      <c r="N19" s="7"/>
    </row>
    <row r="20" spans="8:14" x14ac:dyDescent="0.35">
      <c r="H20" s="7"/>
      <c r="K20" s="8"/>
      <c r="L20" s="8"/>
      <c r="N20" s="7"/>
    </row>
    <row r="21" spans="8:14" x14ac:dyDescent="0.35">
      <c r="H21" s="7"/>
      <c r="K21" s="8"/>
      <c r="L21" s="8"/>
      <c r="N21" s="7"/>
    </row>
    <row r="22" spans="8:14" x14ac:dyDescent="0.35">
      <c r="H22" s="7"/>
      <c r="K22" s="8"/>
      <c r="L22" s="8"/>
      <c r="N22" s="7"/>
    </row>
    <row r="23" spans="8:14" x14ac:dyDescent="0.35">
      <c r="H23" s="7"/>
      <c r="K23" s="8"/>
      <c r="L23" s="8"/>
      <c r="N23" s="7"/>
    </row>
    <row r="24" spans="8:14" x14ac:dyDescent="0.35">
      <c r="H24" s="7"/>
      <c r="K24" s="8"/>
      <c r="L24" s="8"/>
      <c r="N24" s="7"/>
    </row>
    <row r="25" spans="8:14" x14ac:dyDescent="0.35">
      <c r="H25" s="7"/>
      <c r="K25" s="8"/>
      <c r="L25" s="8"/>
      <c r="N25" s="7"/>
    </row>
    <row r="26" spans="8:14" x14ac:dyDescent="0.35">
      <c r="H26" s="7"/>
      <c r="K26" s="8"/>
      <c r="L26" s="8"/>
      <c r="N26" s="7"/>
    </row>
    <row r="27" spans="8:14" x14ac:dyDescent="0.35">
      <c r="H27" s="7"/>
      <c r="K27" s="8"/>
      <c r="L27" s="8"/>
      <c r="N27" s="7"/>
    </row>
    <row r="28" spans="8:14" x14ac:dyDescent="0.35">
      <c r="H28" s="7"/>
      <c r="K28" s="8"/>
      <c r="L28" s="8"/>
      <c r="N28" s="7"/>
    </row>
    <row r="29" spans="8:14" x14ac:dyDescent="0.35">
      <c r="H29" s="7"/>
      <c r="K29" s="8"/>
      <c r="L29" s="8"/>
      <c r="N29" s="7"/>
    </row>
    <row r="30" spans="8:14" x14ac:dyDescent="0.35">
      <c r="H30" s="7"/>
      <c r="K30" s="8"/>
      <c r="L30" s="8"/>
      <c r="N30" s="7"/>
    </row>
    <row r="31" spans="8:14" x14ac:dyDescent="0.35">
      <c r="H31" s="7"/>
      <c r="K31" s="8"/>
      <c r="L31" s="8"/>
      <c r="N31" s="7"/>
    </row>
    <row r="32" spans="8:14" x14ac:dyDescent="0.35">
      <c r="H32" s="7"/>
      <c r="K32" s="8"/>
      <c r="L32" s="8"/>
      <c r="N32" s="7"/>
    </row>
    <row r="33" spans="8:14" x14ac:dyDescent="0.35">
      <c r="H33" s="7"/>
      <c r="K33" s="8"/>
      <c r="L33" s="8"/>
      <c r="N33" s="7"/>
    </row>
    <row r="34" spans="8:14" x14ac:dyDescent="0.35">
      <c r="H34" s="7"/>
      <c r="K34" s="8"/>
      <c r="L34" s="8"/>
      <c r="N34" s="7"/>
    </row>
    <row r="35" spans="8:14" x14ac:dyDescent="0.35">
      <c r="H35" s="7"/>
      <c r="K35" s="8"/>
      <c r="L35" s="8"/>
      <c r="N35" s="7"/>
    </row>
    <row r="36" spans="8:14" x14ac:dyDescent="0.35">
      <c r="H36" s="7"/>
      <c r="K36" s="8"/>
      <c r="L36" s="8"/>
      <c r="N36" s="7"/>
    </row>
    <row r="37" spans="8:14" x14ac:dyDescent="0.35">
      <c r="H37" s="7"/>
      <c r="K37" s="8"/>
      <c r="L37" s="8"/>
      <c r="N37" s="7"/>
    </row>
    <row r="38" spans="8:14" x14ac:dyDescent="0.35">
      <c r="H38" s="7"/>
      <c r="K38" s="8"/>
      <c r="L38" s="8"/>
      <c r="N38" s="7"/>
    </row>
    <row r="39" spans="8:14" x14ac:dyDescent="0.35">
      <c r="H39" s="7"/>
      <c r="K39" s="8"/>
      <c r="L39" s="8"/>
      <c r="N39" s="7"/>
    </row>
    <row r="40" spans="8:14" x14ac:dyDescent="0.35">
      <c r="H40" s="7"/>
      <c r="K40" s="8"/>
      <c r="L40" s="8"/>
      <c r="N40" s="7"/>
    </row>
    <row r="41" spans="8:14" x14ac:dyDescent="0.35">
      <c r="H41" s="7"/>
      <c r="K41" s="8"/>
      <c r="L41" s="8"/>
      <c r="N41" s="7"/>
    </row>
    <row r="42" spans="8:14" x14ac:dyDescent="0.35">
      <c r="H42" s="7"/>
      <c r="K42" s="8"/>
      <c r="L42" s="8"/>
      <c r="N42" s="7"/>
    </row>
    <row r="43" spans="8:14" x14ac:dyDescent="0.35">
      <c r="H43" s="7"/>
      <c r="K43" s="8"/>
      <c r="L43" s="8"/>
      <c r="N43" s="7"/>
    </row>
    <row r="44" spans="8:14" x14ac:dyDescent="0.35">
      <c r="H44" s="7"/>
      <c r="K44" s="8"/>
      <c r="L44" s="8"/>
      <c r="N44" s="7"/>
    </row>
    <row r="45" spans="8:14" x14ac:dyDescent="0.35">
      <c r="H45" s="7"/>
      <c r="K45" s="8"/>
      <c r="L45" s="8"/>
      <c r="N45" s="7"/>
    </row>
    <row r="46" spans="8:14" x14ac:dyDescent="0.35">
      <c r="H46" s="7"/>
      <c r="K46" s="8"/>
      <c r="L46" s="8"/>
      <c r="N46" s="7"/>
    </row>
    <row r="47" spans="8:14" x14ac:dyDescent="0.35">
      <c r="H47" s="7"/>
      <c r="K47" s="8"/>
      <c r="L47" s="8"/>
      <c r="N47" s="7"/>
    </row>
    <row r="48" spans="8:14" x14ac:dyDescent="0.35">
      <c r="H48" s="7"/>
      <c r="K48" s="8"/>
      <c r="L48" s="8"/>
      <c r="N48" s="7"/>
    </row>
    <row r="49" spans="8:14" x14ac:dyDescent="0.35">
      <c r="H49" s="7"/>
      <c r="K49" s="8"/>
      <c r="L49" s="8"/>
      <c r="N49" s="7"/>
    </row>
    <row r="50" spans="8:14" x14ac:dyDescent="0.35">
      <c r="H50" s="7"/>
      <c r="K50" s="8"/>
      <c r="L50" s="8"/>
      <c r="N50" s="7"/>
    </row>
    <row r="51" spans="8:14" x14ac:dyDescent="0.35">
      <c r="H51" s="7"/>
      <c r="K51" s="8"/>
      <c r="L51" s="8"/>
      <c r="N51" s="7"/>
    </row>
    <row r="52" spans="8:14" x14ac:dyDescent="0.35">
      <c r="H52" s="7"/>
      <c r="K52" s="8"/>
      <c r="L52" s="8"/>
      <c r="N52" s="7"/>
    </row>
    <row r="53" spans="8:14" x14ac:dyDescent="0.35">
      <c r="H53" s="7"/>
      <c r="K53" s="8"/>
      <c r="L53" s="8"/>
      <c r="N53" s="7"/>
    </row>
    <row r="54" spans="8:14" x14ac:dyDescent="0.35">
      <c r="H54" s="7"/>
      <c r="K54" s="8"/>
      <c r="L54" s="8"/>
      <c r="N54" s="7"/>
    </row>
    <row r="55" spans="8:14" x14ac:dyDescent="0.35">
      <c r="H55" s="7"/>
      <c r="K55" s="8"/>
      <c r="L55" s="8"/>
      <c r="N55" s="7"/>
    </row>
    <row r="56" spans="8:14" x14ac:dyDescent="0.35">
      <c r="H56" s="7"/>
      <c r="K56" s="8"/>
      <c r="L56" s="8"/>
      <c r="N56" s="7"/>
    </row>
    <row r="57" spans="8:14" x14ac:dyDescent="0.35">
      <c r="H57" s="7"/>
      <c r="K57" s="8"/>
      <c r="L57" s="8"/>
      <c r="N57" s="7"/>
    </row>
    <row r="58" spans="8:14" x14ac:dyDescent="0.35">
      <c r="H58" s="7"/>
      <c r="K58" s="8"/>
      <c r="L58" s="8"/>
      <c r="N58" s="7"/>
    </row>
    <row r="59" spans="8:14" x14ac:dyDescent="0.35">
      <c r="H59" s="7"/>
      <c r="K59" s="8"/>
      <c r="L59" s="8"/>
      <c r="N59" s="7"/>
    </row>
    <row r="60" spans="8:14" x14ac:dyDescent="0.35">
      <c r="H60" s="7"/>
      <c r="K60" s="8"/>
      <c r="L60" s="8"/>
      <c r="N60" s="7"/>
    </row>
    <row r="61" spans="8:14" x14ac:dyDescent="0.35">
      <c r="H61" s="7"/>
      <c r="K61" s="8"/>
      <c r="L61" s="8"/>
      <c r="N61" s="7"/>
    </row>
    <row r="62" spans="8:14" x14ac:dyDescent="0.35">
      <c r="H62" s="7"/>
      <c r="K62" s="8"/>
      <c r="L62" s="8"/>
      <c r="N62" s="7"/>
    </row>
    <row r="63" spans="8:14" x14ac:dyDescent="0.35">
      <c r="H63" s="7"/>
      <c r="K63" s="8"/>
      <c r="L63" s="8"/>
      <c r="N63" s="7"/>
    </row>
    <row r="64" spans="8:14" x14ac:dyDescent="0.35">
      <c r="H64" s="7"/>
      <c r="K64" s="8"/>
      <c r="L64" s="8"/>
      <c r="N64" s="7"/>
    </row>
    <row r="65" spans="8:14" x14ac:dyDescent="0.35">
      <c r="H65" s="7"/>
      <c r="K65" s="8"/>
      <c r="L65" s="8"/>
      <c r="N65" s="7"/>
    </row>
    <row r="66" spans="8:14" x14ac:dyDescent="0.35">
      <c r="H66" s="7"/>
      <c r="K66" s="8"/>
      <c r="L66" s="8"/>
      <c r="N66" s="7"/>
    </row>
    <row r="67" spans="8:14" x14ac:dyDescent="0.35">
      <c r="H67" s="7"/>
      <c r="K67" s="8"/>
      <c r="L67" s="8"/>
      <c r="N67" s="7"/>
    </row>
    <row r="68" spans="8:14" x14ac:dyDescent="0.35">
      <c r="H68" s="7"/>
      <c r="K68" s="8"/>
      <c r="L68" s="8"/>
      <c r="N68" s="7"/>
    </row>
    <row r="69" spans="8:14" x14ac:dyDescent="0.35">
      <c r="H69" s="7"/>
      <c r="K69" s="8"/>
      <c r="L69" s="8"/>
      <c r="N69" s="7"/>
    </row>
  </sheetData>
  <conditionalFormatting sqref="L2:L69">
    <cfRule type="cellIs" dxfId="16" priority="1" operator="greaterThan">
      <formula>E2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0"/>
  <sheetViews>
    <sheetView workbookViewId="0">
      <selection activeCell="P1" sqref="P1:R1048576"/>
    </sheetView>
  </sheetViews>
  <sheetFormatPr defaultRowHeight="14.5" x14ac:dyDescent="0.35"/>
  <cols>
    <col min="1" max="1" width="8" customWidth="1"/>
    <col min="2" max="2" width="26" customWidth="1"/>
    <col min="3" max="3" width="39" customWidth="1"/>
    <col min="4" max="4" width="13" customWidth="1"/>
    <col min="5" max="5" width="19" customWidth="1"/>
    <col min="7" max="7" width="6.7265625" bestFit="1" customWidth="1"/>
    <col min="8" max="8" width="8.1796875" bestFit="1" customWidth="1"/>
    <col min="10" max="10" width="9.453125" bestFit="1" customWidth="1"/>
    <col min="11" max="11" width="6.36328125" bestFit="1" customWidth="1"/>
    <col min="12" max="12" width="9.26953125" bestFit="1" customWidth="1"/>
    <col min="13" max="13" width="6.7265625" bestFit="1" customWidth="1"/>
    <col min="14" max="14" width="8.1796875" bestFit="1" customWidth="1"/>
    <col min="16" max="18" width="6.453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5</v>
      </c>
      <c r="H1" s="6" t="s">
        <v>6</v>
      </c>
      <c r="J1" s="5" t="s">
        <v>7</v>
      </c>
      <c r="L1" s="5" t="s">
        <v>8</v>
      </c>
      <c r="M1" s="6"/>
      <c r="N1" s="6"/>
      <c r="P1" s="17">
        <v>46118</v>
      </c>
      <c r="Q1" s="17">
        <f>P1+7</f>
        <v>46125</v>
      </c>
      <c r="R1" s="17">
        <f>Q1+7</f>
        <v>46132</v>
      </c>
    </row>
    <row r="2" spans="1:26" x14ac:dyDescent="0.35">
      <c r="A2" s="2">
        <v>1</v>
      </c>
      <c r="B2" s="2" t="s">
        <v>9</v>
      </c>
      <c r="C2" s="2" t="s">
        <v>10</v>
      </c>
      <c r="D2" s="3">
        <v>11.84</v>
      </c>
      <c r="E2" s="3">
        <v>66</v>
      </c>
      <c r="G2">
        <f t="shared" ref="G2:G33" si="0">IFERROR(((E2-MIN(E2/2,30)-4)*0.7)-$D2,0)</f>
        <v>10.559999999999999</v>
      </c>
      <c r="H2" s="7">
        <f t="shared" ref="H2:H33" si="1">G2/E2</f>
        <v>0.15999999999999998</v>
      </c>
      <c r="J2">
        <f t="shared" ref="J2:J33" si="2">ROUND(IF(D2&lt;=3.2,28+10*(D2),(23.8+D2)/0.45),0)</f>
        <v>79</v>
      </c>
      <c r="K2" s="8"/>
      <c r="L2" s="8">
        <f t="shared" ref="L2:L33" si="3">MAX(J2,E2)</f>
        <v>79</v>
      </c>
      <c r="M2">
        <f t="shared" ref="M2:M33" si="4">((L2-(MIN(L2/2,30))-4)*0.7)-D2</f>
        <v>19.659999999999997</v>
      </c>
      <c r="N2" s="7">
        <f t="shared" ref="N2:N33" si="5">M2/L2</f>
        <v>0.24886075949367084</v>
      </c>
      <c r="P2">
        <f t="shared" ref="P2:P33" si="6">IF(L2&gt;E2,IF(E2+3&lt;=L2,E2+3,L2),E2)</f>
        <v>69</v>
      </c>
      <c r="Q2">
        <f t="shared" ref="Q2:Q33" si="7">IF(P2&lt;$L2,IF(P2+3&lt;=L2,P2+3,L2),P2)</f>
        <v>72</v>
      </c>
      <c r="R2">
        <f t="shared" ref="R2:R33" si="8">IF(Q2&lt;$L2,Q2+3,IF(Q2&gt;=L2,L2,Q2+3))</f>
        <v>75</v>
      </c>
      <c r="T2">
        <f>ROUND(((D2+1.2*D2)/0.7)+4,0)</f>
        <v>41</v>
      </c>
      <c r="U2" s="7">
        <f>1.2*D2/T2</f>
        <v>0.34653658536585369</v>
      </c>
      <c r="V2">
        <f>D2*1.2</f>
        <v>14.208</v>
      </c>
      <c r="W2">
        <f>ROUND((((D2+1.2*D2)/0.7)+4)/0.7,0)</f>
        <v>59</v>
      </c>
      <c r="X2">
        <f>D2/W2</f>
        <v>0.20067796610169492</v>
      </c>
      <c r="Z2">
        <f>VLOOKUP(C2,[1]Sheet1!$B$2:$C$1355,2,0)</f>
        <v>69</v>
      </c>
    </row>
    <row r="3" spans="1:26" x14ac:dyDescent="0.35">
      <c r="A3" s="2">
        <v>2</v>
      </c>
      <c r="B3" s="2" t="s">
        <v>9</v>
      </c>
      <c r="C3" s="2" t="s">
        <v>11</v>
      </c>
      <c r="D3" s="3">
        <v>14.38</v>
      </c>
      <c r="E3" s="3">
        <v>72</v>
      </c>
      <c r="G3">
        <f t="shared" si="0"/>
        <v>12.219999999999997</v>
      </c>
      <c r="H3" s="7">
        <f t="shared" si="1"/>
        <v>0.16972222222222219</v>
      </c>
      <c r="J3">
        <f t="shared" si="2"/>
        <v>85</v>
      </c>
      <c r="K3" s="8"/>
      <c r="L3" s="8">
        <f t="shared" si="3"/>
        <v>85</v>
      </c>
      <c r="M3">
        <f t="shared" si="4"/>
        <v>21.319999999999993</v>
      </c>
      <c r="N3" s="7">
        <f t="shared" si="5"/>
        <v>0.25082352941176461</v>
      </c>
      <c r="P3">
        <f t="shared" si="6"/>
        <v>75</v>
      </c>
      <c r="Q3">
        <f t="shared" si="7"/>
        <v>78</v>
      </c>
      <c r="R3">
        <f t="shared" si="8"/>
        <v>81</v>
      </c>
      <c r="Z3" t="e">
        <f>VLOOKUP(C3,[1]Sheet1!$B$2:$C$1355,2,0)</f>
        <v>#N/A</v>
      </c>
    </row>
    <row r="4" spans="1:26" x14ac:dyDescent="0.35">
      <c r="A4" s="2">
        <v>3</v>
      </c>
      <c r="B4" s="2" t="s">
        <v>9</v>
      </c>
      <c r="C4" s="2" t="s">
        <v>12</v>
      </c>
      <c r="D4" s="3">
        <v>12.2</v>
      </c>
      <c r="E4" s="3">
        <v>68</v>
      </c>
      <c r="G4">
        <f t="shared" si="0"/>
        <v>11.599999999999998</v>
      </c>
      <c r="H4" s="7">
        <f t="shared" si="1"/>
        <v>0.17058823529411762</v>
      </c>
      <c r="J4">
        <f t="shared" si="2"/>
        <v>80</v>
      </c>
      <c r="K4" s="8"/>
      <c r="L4" s="8">
        <f t="shared" si="3"/>
        <v>80</v>
      </c>
      <c r="M4">
        <f t="shared" si="4"/>
        <v>19.999999999999996</v>
      </c>
      <c r="N4" s="7">
        <f t="shared" si="5"/>
        <v>0.24999999999999994</v>
      </c>
      <c r="P4">
        <f t="shared" si="6"/>
        <v>71</v>
      </c>
      <c r="Q4">
        <f t="shared" si="7"/>
        <v>74</v>
      </c>
      <c r="R4">
        <f t="shared" si="8"/>
        <v>77</v>
      </c>
      <c r="Z4">
        <f>VLOOKUP(C4,[1]Sheet1!$B$2:$C$1355,2,0)</f>
        <v>71</v>
      </c>
    </row>
    <row r="5" spans="1:26" x14ac:dyDescent="0.35">
      <c r="A5" s="2">
        <v>4</v>
      </c>
      <c r="B5" s="2" t="s">
        <v>9</v>
      </c>
      <c r="C5" s="2" t="s">
        <v>13</v>
      </c>
      <c r="D5" s="3">
        <v>10.91</v>
      </c>
      <c r="E5" s="3">
        <v>67</v>
      </c>
      <c r="G5">
        <f t="shared" si="0"/>
        <v>12.189999999999998</v>
      </c>
      <c r="H5" s="7">
        <f t="shared" si="1"/>
        <v>0.18194029850746266</v>
      </c>
      <c r="J5">
        <f t="shared" si="2"/>
        <v>77</v>
      </c>
      <c r="K5" s="8"/>
      <c r="L5" s="8">
        <f t="shared" si="3"/>
        <v>77</v>
      </c>
      <c r="M5">
        <f t="shared" si="4"/>
        <v>19.189999999999998</v>
      </c>
      <c r="N5" s="7">
        <f t="shared" si="5"/>
        <v>0.2492207792207792</v>
      </c>
      <c r="P5">
        <f t="shared" si="6"/>
        <v>70</v>
      </c>
      <c r="Q5">
        <f t="shared" si="7"/>
        <v>73</v>
      </c>
      <c r="R5">
        <f t="shared" si="8"/>
        <v>76</v>
      </c>
      <c r="Z5">
        <f>VLOOKUP(C5,[1]Sheet1!$B$2:$C$1355,2,0)</f>
        <v>71</v>
      </c>
    </row>
    <row r="6" spans="1:26" x14ac:dyDescent="0.35">
      <c r="A6" s="2">
        <v>5</v>
      </c>
      <c r="B6" s="2" t="s">
        <v>9</v>
      </c>
      <c r="C6" s="2" t="s">
        <v>14</v>
      </c>
      <c r="D6" s="3">
        <v>11.99</v>
      </c>
      <c r="E6" s="3">
        <v>66</v>
      </c>
      <c r="G6">
        <f t="shared" si="0"/>
        <v>10.409999999999998</v>
      </c>
      <c r="H6" s="7">
        <f t="shared" si="1"/>
        <v>0.15772727272727272</v>
      </c>
      <c r="J6">
        <f t="shared" si="2"/>
        <v>80</v>
      </c>
      <c r="K6" s="8"/>
      <c r="L6" s="8">
        <f t="shared" si="3"/>
        <v>80</v>
      </c>
      <c r="M6">
        <f t="shared" si="4"/>
        <v>20.209999999999994</v>
      </c>
      <c r="N6" s="7">
        <f t="shared" si="5"/>
        <v>0.25262499999999993</v>
      </c>
      <c r="P6">
        <f t="shared" si="6"/>
        <v>69</v>
      </c>
      <c r="Q6">
        <f t="shared" si="7"/>
        <v>72</v>
      </c>
      <c r="R6">
        <f t="shared" si="8"/>
        <v>75</v>
      </c>
      <c r="Z6">
        <f>VLOOKUP(C6,[1]Sheet1!$B$2:$C$1355,2,0)</f>
        <v>71</v>
      </c>
    </row>
    <row r="7" spans="1:26" x14ac:dyDescent="0.35">
      <c r="A7" s="2">
        <v>6</v>
      </c>
      <c r="B7" s="2" t="s">
        <v>9</v>
      </c>
      <c r="C7" s="2" t="s">
        <v>15</v>
      </c>
      <c r="D7" s="3">
        <v>12.09</v>
      </c>
      <c r="E7" s="3">
        <v>66</v>
      </c>
      <c r="G7">
        <f t="shared" si="0"/>
        <v>10.309999999999999</v>
      </c>
      <c r="H7" s="7">
        <f t="shared" si="1"/>
        <v>0.15621212121212119</v>
      </c>
      <c r="J7">
        <f t="shared" si="2"/>
        <v>80</v>
      </c>
      <c r="K7" s="8"/>
      <c r="L7" s="8">
        <f t="shared" si="3"/>
        <v>80</v>
      </c>
      <c r="M7">
        <f t="shared" si="4"/>
        <v>20.109999999999996</v>
      </c>
      <c r="N7" s="7">
        <f t="shared" si="5"/>
        <v>0.25137499999999996</v>
      </c>
      <c r="P7">
        <f t="shared" si="6"/>
        <v>69</v>
      </c>
      <c r="Q7">
        <f t="shared" si="7"/>
        <v>72</v>
      </c>
      <c r="R7">
        <f t="shared" si="8"/>
        <v>75</v>
      </c>
      <c r="Z7">
        <f>VLOOKUP(C7,[1]Sheet1!$B$2:$C$1355,2,0)</f>
        <v>73</v>
      </c>
    </row>
    <row r="8" spans="1:26" x14ac:dyDescent="0.35">
      <c r="A8" s="2">
        <v>7</v>
      </c>
      <c r="B8" s="2" t="s">
        <v>9</v>
      </c>
      <c r="C8" s="2" t="s">
        <v>16</v>
      </c>
      <c r="D8" s="3">
        <v>12.3</v>
      </c>
      <c r="E8" s="3">
        <v>68</v>
      </c>
      <c r="G8">
        <f t="shared" si="0"/>
        <v>11.499999999999996</v>
      </c>
      <c r="H8" s="7">
        <f t="shared" si="1"/>
        <v>0.16911764705882348</v>
      </c>
      <c r="J8">
        <f t="shared" si="2"/>
        <v>80</v>
      </c>
      <c r="K8" s="8"/>
      <c r="L8" s="8">
        <f t="shared" si="3"/>
        <v>80</v>
      </c>
      <c r="M8">
        <f t="shared" si="4"/>
        <v>19.899999999999995</v>
      </c>
      <c r="N8" s="7">
        <f t="shared" si="5"/>
        <v>0.24874999999999994</v>
      </c>
      <c r="P8">
        <f t="shared" si="6"/>
        <v>71</v>
      </c>
      <c r="Q8">
        <f t="shared" si="7"/>
        <v>74</v>
      </c>
      <c r="R8">
        <f t="shared" si="8"/>
        <v>77</v>
      </c>
      <c r="Z8" t="e">
        <f>VLOOKUP(C8,[1]Sheet1!$B$2:$C$1355,2,0)</f>
        <v>#N/A</v>
      </c>
    </row>
    <row r="9" spans="1:26" x14ac:dyDescent="0.35">
      <c r="A9" s="2">
        <v>8</v>
      </c>
      <c r="B9" s="2" t="s">
        <v>9</v>
      </c>
      <c r="C9" s="2" t="s">
        <v>17</v>
      </c>
      <c r="D9" s="3">
        <v>12.45</v>
      </c>
      <c r="E9" s="3">
        <v>68</v>
      </c>
      <c r="G9">
        <f t="shared" si="0"/>
        <v>11.349999999999998</v>
      </c>
      <c r="H9" s="7">
        <f t="shared" si="1"/>
        <v>0.16691176470588232</v>
      </c>
      <c r="J9">
        <f t="shared" si="2"/>
        <v>81</v>
      </c>
      <c r="K9" s="8"/>
      <c r="L9" s="8">
        <f t="shared" si="3"/>
        <v>81</v>
      </c>
      <c r="M9">
        <f t="shared" si="4"/>
        <v>20.45</v>
      </c>
      <c r="N9" s="7">
        <f t="shared" si="5"/>
        <v>0.2524691358024691</v>
      </c>
      <c r="P9">
        <f t="shared" si="6"/>
        <v>71</v>
      </c>
      <c r="Q9">
        <f t="shared" si="7"/>
        <v>74</v>
      </c>
      <c r="R9">
        <f t="shared" si="8"/>
        <v>77</v>
      </c>
      <c r="Z9">
        <f>VLOOKUP(C9,[1]Sheet1!$B$2:$C$1355,2,0)</f>
        <v>75</v>
      </c>
    </row>
    <row r="10" spans="1:26" x14ac:dyDescent="0.35">
      <c r="A10" s="2">
        <v>9</v>
      </c>
      <c r="B10" s="2" t="s">
        <v>9</v>
      </c>
      <c r="C10" s="2" t="s">
        <v>18</v>
      </c>
      <c r="D10" s="3">
        <v>12.49</v>
      </c>
      <c r="E10" s="3">
        <v>68</v>
      </c>
      <c r="G10">
        <f t="shared" si="0"/>
        <v>11.309999999999997</v>
      </c>
      <c r="H10" s="7">
        <f t="shared" si="1"/>
        <v>0.16632352941176465</v>
      </c>
      <c r="J10">
        <f t="shared" si="2"/>
        <v>81</v>
      </c>
      <c r="K10" s="8"/>
      <c r="L10" s="8">
        <f t="shared" si="3"/>
        <v>81</v>
      </c>
      <c r="M10">
        <f t="shared" si="4"/>
        <v>20.409999999999997</v>
      </c>
      <c r="N10" s="7">
        <f t="shared" si="5"/>
        <v>0.25197530864197526</v>
      </c>
      <c r="P10">
        <f t="shared" si="6"/>
        <v>71</v>
      </c>
      <c r="Q10">
        <f t="shared" si="7"/>
        <v>74</v>
      </c>
      <c r="R10">
        <f t="shared" si="8"/>
        <v>77</v>
      </c>
      <c r="Z10">
        <f>VLOOKUP(C10,[1]Sheet1!$B$2:$C$1355,2,0)</f>
        <v>72</v>
      </c>
    </row>
    <row r="11" spans="1:26" x14ac:dyDescent="0.35">
      <c r="A11" s="2">
        <v>10</v>
      </c>
      <c r="B11" s="2" t="s">
        <v>9</v>
      </c>
      <c r="C11" s="2" t="s">
        <v>19</v>
      </c>
      <c r="D11" s="3">
        <v>18.7</v>
      </c>
      <c r="E11" s="3">
        <v>82</v>
      </c>
      <c r="G11">
        <f t="shared" si="0"/>
        <v>14.899999999999995</v>
      </c>
      <c r="H11" s="7">
        <f t="shared" si="1"/>
        <v>0.18170731707317067</v>
      </c>
      <c r="J11">
        <f t="shared" si="2"/>
        <v>94</v>
      </c>
      <c r="K11" s="8"/>
      <c r="L11" s="8">
        <f t="shared" si="3"/>
        <v>94</v>
      </c>
      <c r="M11">
        <f t="shared" si="4"/>
        <v>23.3</v>
      </c>
      <c r="N11" s="7">
        <f t="shared" si="5"/>
        <v>0.24787234042553191</v>
      </c>
      <c r="P11">
        <f t="shared" si="6"/>
        <v>85</v>
      </c>
      <c r="Q11">
        <f t="shared" si="7"/>
        <v>88</v>
      </c>
      <c r="R11">
        <f t="shared" si="8"/>
        <v>91</v>
      </c>
      <c r="Z11">
        <f>VLOOKUP(C11,[1]Sheet1!$B$2:$C$1355,2,0)</f>
        <v>85</v>
      </c>
    </row>
    <row r="12" spans="1:26" x14ac:dyDescent="0.35">
      <c r="A12" s="2">
        <v>11</v>
      </c>
      <c r="B12" s="2" t="s">
        <v>9</v>
      </c>
      <c r="C12" s="2" t="s">
        <v>20</v>
      </c>
      <c r="D12" s="3">
        <v>14.43</v>
      </c>
      <c r="E12" s="3">
        <v>71</v>
      </c>
      <c r="G12">
        <f t="shared" si="0"/>
        <v>11.469999999999999</v>
      </c>
      <c r="H12" s="7">
        <f t="shared" si="1"/>
        <v>0.16154929577464788</v>
      </c>
      <c r="J12">
        <f t="shared" si="2"/>
        <v>85</v>
      </c>
      <c r="K12" s="8"/>
      <c r="L12" s="8">
        <f t="shared" si="3"/>
        <v>85</v>
      </c>
      <c r="M12">
        <f t="shared" si="4"/>
        <v>21.269999999999996</v>
      </c>
      <c r="N12" s="7">
        <f t="shared" si="5"/>
        <v>0.250235294117647</v>
      </c>
      <c r="P12">
        <f t="shared" si="6"/>
        <v>74</v>
      </c>
      <c r="Q12">
        <f t="shared" si="7"/>
        <v>77</v>
      </c>
      <c r="R12">
        <f t="shared" si="8"/>
        <v>80</v>
      </c>
      <c r="Z12">
        <f>VLOOKUP(C12,[1]Sheet1!$B$2:$C$1355,2,0)</f>
        <v>72</v>
      </c>
    </row>
    <row r="13" spans="1:26" x14ac:dyDescent="0.35">
      <c r="A13" s="2">
        <v>12</v>
      </c>
      <c r="B13" s="2" t="s">
        <v>9</v>
      </c>
      <c r="C13" s="2" t="s">
        <v>21</v>
      </c>
      <c r="D13" s="3">
        <v>14.38</v>
      </c>
      <c r="E13" s="3">
        <v>72</v>
      </c>
      <c r="G13">
        <f t="shared" si="0"/>
        <v>12.219999999999997</v>
      </c>
      <c r="H13" s="7">
        <f t="shared" si="1"/>
        <v>0.16972222222222219</v>
      </c>
      <c r="J13">
        <f t="shared" si="2"/>
        <v>85</v>
      </c>
      <c r="K13" s="8"/>
      <c r="L13" s="8">
        <f t="shared" si="3"/>
        <v>85</v>
      </c>
      <c r="M13">
        <f t="shared" si="4"/>
        <v>21.319999999999993</v>
      </c>
      <c r="N13" s="7">
        <f t="shared" si="5"/>
        <v>0.25082352941176461</v>
      </c>
      <c r="P13">
        <f t="shared" si="6"/>
        <v>75</v>
      </c>
      <c r="Q13">
        <f t="shared" si="7"/>
        <v>78</v>
      </c>
      <c r="R13">
        <f t="shared" si="8"/>
        <v>81</v>
      </c>
      <c r="Z13">
        <f>VLOOKUP(C13,[1]Sheet1!$B$2:$C$1355,2,0)</f>
        <v>71</v>
      </c>
    </row>
    <row r="14" spans="1:26" x14ac:dyDescent="0.35">
      <c r="A14" s="2">
        <v>13</v>
      </c>
      <c r="B14" s="2" t="s">
        <v>9</v>
      </c>
      <c r="C14" s="2" t="s">
        <v>22</v>
      </c>
      <c r="D14" s="3">
        <v>12.32</v>
      </c>
      <c r="E14" s="3">
        <v>67</v>
      </c>
      <c r="G14">
        <f t="shared" si="0"/>
        <v>10.779999999999998</v>
      </c>
      <c r="H14" s="7">
        <f t="shared" si="1"/>
        <v>0.16089552238805965</v>
      </c>
      <c r="J14">
        <f t="shared" si="2"/>
        <v>80</v>
      </c>
      <c r="K14" s="8"/>
      <c r="L14" s="8">
        <f t="shared" si="3"/>
        <v>80</v>
      </c>
      <c r="M14">
        <f t="shared" si="4"/>
        <v>19.879999999999995</v>
      </c>
      <c r="N14" s="7">
        <f t="shared" si="5"/>
        <v>0.24849999999999994</v>
      </c>
      <c r="P14">
        <f t="shared" si="6"/>
        <v>70</v>
      </c>
      <c r="Q14">
        <f t="shared" si="7"/>
        <v>73</v>
      </c>
      <c r="R14">
        <f t="shared" si="8"/>
        <v>76</v>
      </c>
      <c r="Z14">
        <f>VLOOKUP(C14,[1]Sheet1!$B$2:$C$1355,2,0)</f>
        <v>71</v>
      </c>
    </row>
    <row r="15" spans="1:26" x14ac:dyDescent="0.35">
      <c r="A15" s="2">
        <v>14</v>
      </c>
      <c r="B15" s="2" t="s">
        <v>23</v>
      </c>
      <c r="C15" s="2" t="s">
        <v>24</v>
      </c>
      <c r="D15" s="3">
        <v>7.21</v>
      </c>
      <c r="E15" s="3">
        <v>53</v>
      </c>
      <c r="G15">
        <f t="shared" si="0"/>
        <v>8.5399999999999991</v>
      </c>
      <c r="H15" s="7">
        <f t="shared" si="1"/>
        <v>0.16113207547169811</v>
      </c>
      <c r="J15">
        <f t="shared" si="2"/>
        <v>69</v>
      </c>
      <c r="K15" s="8"/>
      <c r="L15" s="8">
        <f t="shared" si="3"/>
        <v>69</v>
      </c>
      <c r="M15">
        <f t="shared" si="4"/>
        <v>17.29</v>
      </c>
      <c r="N15" s="7">
        <f t="shared" si="5"/>
        <v>0.25057971014492753</v>
      </c>
      <c r="P15">
        <f t="shared" si="6"/>
        <v>56</v>
      </c>
      <c r="Q15">
        <f t="shared" si="7"/>
        <v>59</v>
      </c>
      <c r="R15">
        <f t="shared" si="8"/>
        <v>62</v>
      </c>
      <c r="Z15">
        <f>VLOOKUP(C15,[1]Sheet1!$B$2:$C$1355,2,0)</f>
        <v>54</v>
      </c>
    </row>
    <row r="16" spans="1:26" x14ac:dyDescent="0.35">
      <c r="A16" s="2">
        <v>15</v>
      </c>
      <c r="B16" s="2" t="s">
        <v>23</v>
      </c>
      <c r="C16" s="2" t="s">
        <v>25</v>
      </c>
      <c r="D16" s="3">
        <v>5.59</v>
      </c>
      <c r="E16" s="3">
        <v>55</v>
      </c>
      <c r="G16">
        <f t="shared" si="0"/>
        <v>10.86</v>
      </c>
      <c r="H16" s="7">
        <f t="shared" si="1"/>
        <v>0.19745454545454544</v>
      </c>
      <c r="J16">
        <f t="shared" si="2"/>
        <v>65</v>
      </c>
      <c r="K16" s="8"/>
      <c r="L16" s="8">
        <f t="shared" si="3"/>
        <v>65</v>
      </c>
      <c r="M16">
        <f t="shared" si="4"/>
        <v>16.11</v>
      </c>
      <c r="N16" s="7">
        <f t="shared" si="5"/>
        <v>0.24784615384615383</v>
      </c>
      <c r="P16">
        <f t="shared" si="6"/>
        <v>58</v>
      </c>
      <c r="Q16">
        <f t="shared" si="7"/>
        <v>61</v>
      </c>
      <c r="R16">
        <f t="shared" si="8"/>
        <v>64</v>
      </c>
      <c r="Z16">
        <f>VLOOKUP(C16,[1]Sheet1!$B$2:$C$1355,2,0)</f>
        <v>56</v>
      </c>
    </row>
    <row r="17" spans="1:26" x14ac:dyDescent="0.35">
      <c r="A17" s="2">
        <v>16</v>
      </c>
      <c r="B17" s="2" t="s">
        <v>23</v>
      </c>
      <c r="C17" s="2" t="s">
        <v>26</v>
      </c>
      <c r="D17" s="3">
        <v>5.92</v>
      </c>
      <c r="E17" s="3">
        <v>58</v>
      </c>
      <c r="G17">
        <f t="shared" si="0"/>
        <v>11.58</v>
      </c>
      <c r="H17" s="7">
        <f t="shared" si="1"/>
        <v>0.1996551724137931</v>
      </c>
      <c r="J17">
        <f t="shared" si="2"/>
        <v>66</v>
      </c>
      <c r="K17" s="8"/>
      <c r="L17" s="8">
        <f t="shared" si="3"/>
        <v>66</v>
      </c>
      <c r="M17">
        <f t="shared" si="4"/>
        <v>16.479999999999997</v>
      </c>
      <c r="N17" s="7">
        <f t="shared" si="5"/>
        <v>0.24969696969696964</v>
      </c>
      <c r="P17">
        <f t="shared" si="6"/>
        <v>61</v>
      </c>
      <c r="Q17">
        <f t="shared" si="7"/>
        <v>64</v>
      </c>
      <c r="R17">
        <f t="shared" si="8"/>
        <v>67</v>
      </c>
      <c r="Z17">
        <f>VLOOKUP(C17,[1]Sheet1!$B$2:$C$1355,2,0)</f>
        <v>56</v>
      </c>
    </row>
    <row r="18" spans="1:26" x14ac:dyDescent="0.35">
      <c r="A18" s="2">
        <v>17</v>
      </c>
      <c r="B18" s="2" t="s">
        <v>23</v>
      </c>
      <c r="C18" s="2" t="s">
        <v>27</v>
      </c>
      <c r="D18" s="3">
        <v>5.49</v>
      </c>
      <c r="E18" s="3">
        <v>56</v>
      </c>
      <c r="G18">
        <f t="shared" si="0"/>
        <v>11.309999999999997</v>
      </c>
      <c r="H18" s="7">
        <f t="shared" si="1"/>
        <v>0.20196428571428565</v>
      </c>
      <c r="J18">
        <f t="shared" si="2"/>
        <v>65</v>
      </c>
      <c r="K18" s="8"/>
      <c r="L18" s="8">
        <f t="shared" si="3"/>
        <v>65</v>
      </c>
      <c r="M18">
        <f t="shared" si="4"/>
        <v>16.21</v>
      </c>
      <c r="N18" s="7">
        <f t="shared" si="5"/>
        <v>0.2493846153846154</v>
      </c>
      <c r="P18">
        <f t="shared" si="6"/>
        <v>59</v>
      </c>
      <c r="Q18">
        <f t="shared" si="7"/>
        <v>62</v>
      </c>
      <c r="R18">
        <f t="shared" si="8"/>
        <v>65</v>
      </c>
      <c r="Z18">
        <f>VLOOKUP(C18,[1]Sheet1!$B$2:$C$1355,2,0)</f>
        <v>56</v>
      </c>
    </row>
    <row r="19" spans="1:26" x14ac:dyDescent="0.35">
      <c r="A19" s="2">
        <v>18</v>
      </c>
      <c r="B19" s="2" t="s">
        <v>23</v>
      </c>
      <c r="C19" s="2" t="s">
        <v>28</v>
      </c>
      <c r="D19" s="3">
        <v>5.28</v>
      </c>
      <c r="E19" s="3">
        <v>56</v>
      </c>
      <c r="G19">
        <f t="shared" si="0"/>
        <v>11.519999999999996</v>
      </c>
      <c r="H19" s="7">
        <f t="shared" si="1"/>
        <v>0.20571428571428566</v>
      </c>
      <c r="J19">
        <f t="shared" si="2"/>
        <v>65</v>
      </c>
      <c r="K19" s="8"/>
      <c r="L19" s="8">
        <f t="shared" si="3"/>
        <v>65</v>
      </c>
      <c r="M19">
        <f t="shared" si="4"/>
        <v>16.419999999999998</v>
      </c>
      <c r="N19" s="7">
        <f t="shared" si="5"/>
        <v>0.25261538461538458</v>
      </c>
      <c r="P19">
        <f t="shared" si="6"/>
        <v>59</v>
      </c>
      <c r="Q19">
        <f t="shared" si="7"/>
        <v>62</v>
      </c>
      <c r="R19">
        <f t="shared" si="8"/>
        <v>65</v>
      </c>
      <c r="Z19">
        <f>VLOOKUP(C19,[1]Sheet1!$B$2:$C$1355,2,0)</f>
        <v>56</v>
      </c>
    </row>
    <row r="20" spans="1:26" x14ac:dyDescent="0.35">
      <c r="A20" s="2">
        <v>19</v>
      </c>
      <c r="B20" s="2" t="s">
        <v>23</v>
      </c>
      <c r="C20" t="s">
        <v>28</v>
      </c>
      <c r="D20" s="3">
        <v>5.38</v>
      </c>
      <c r="E20" s="2">
        <v>56</v>
      </c>
      <c r="G20">
        <f t="shared" si="0"/>
        <v>11.419999999999998</v>
      </c>
      <c r="H20" s="7">
        <f t="shared" si="1"/>
        <v>0.2039285714285714</v>
      </c>
      <c r="J20">
        <f t="shared" si="2"/>
        <v>65</v>
      </c>
      <c r="K20" s="8"/>
      <c r="L20" s="8">
        <f t="shared" si="3"/>
        <v>65</v>
      </c>
      <c r="M20">
        <f t="shared" si="4"/>
        <v>16.32</v>
      </c>
      <c r="N20" s="7">
        <f t="shared" si="5"/>
        <v>0.25107692307692309</v>
      </c>
      <c r="P20">
        <f t="shared" si="6"/>
        <v>59</v>
      </c>
      <c r="Q20">
        <f t="shared" si="7"/>
        <v>62</v>
      </c>
      <c r="R20">
        <f t="shared" si="8"/>
        <v>65</v>
      </c>
      <c r="Z20">
        <f>VLOOKUP(C20,[1]Sheet1!$B$2:$C$1355,2,0)</f>
        <v>56</v>
      </c>
    </row>
    <row r="21" spans="1:26" x14ac:dyDescent="0.35">
      <c r="A21" s="2">
        <v>20</v>
      </c>
      <c r="B21" s="2" t="s">
        <v>23</v>
      </c>
      <c r="C21" s="2" t="s">
        <v>29</v>
      </c>
      <c r="D21" s="3">
        <v>5.71</v>
      </c>
      <c r="E21" s="3">
        <v>56</v>
      </c>
      <c r="G21">
        <f t="shared" si="0"/>
        <v>11.089999999999996</v>
      </c>
      <c r="H21" s="7">
        <f t="shared" si="1"/>
        <v>0.19803571428571423</v>
      </c>
      <c r="J21">
        <f t="shared" si="2"/>
        <v>66</v>
      </c>
      <c r="K21" s="8"/>
      <c r="L21" s="8">
        <f t="shared" si="3"/>
        <v>66</v>
      </c>
      <c r="M21">
        <f t="shared" si="4"/>
        <v>16.689999999999998</v>
      </c>
      <c r="N21" s="7">
        <f t="shared" si="5"/>
        <v>0.25287878787878787</v>
      </c>
      <c r="P21">
        <f t="shared" si="6"/>
        <v>59</v>
      </c>
      <c r="Q21">
        <f t="shared" si="7"/>
        <v>62</v>
      </c>
      <c r="R21">
        <f t="shared" si="8"/>
        <v>65</v>
      </c>
      <c r="Z21">
        <f>VLOOKUP(C21,[1]Sheet1!$B$2:$C$1355,2,0)</f>
        <v>56</v>
      </c>
    </row>
    <row r="22" spans="1:26" x14ac:dyDescent="0.35">
      <c r="A22" s="2">
        <v>21</v>
      </c>
      <c r="B22" s="2" t="s">
        <v>23</v>
      </c>
      <c r="C22" s="2" t="s">
        <v>30</v>
      </c>
      <c r="D22" s="3">
        <v>5.67</v>
      </c>
      <c r="E22" s="3">
        <v>56</v>
      </c>
      <c r="G22">
        <f t="shared" si="0"/>
        <v>11.129999999999997</v>
      </c>
      <c r="H22" s="7">
        <f t="shared" si="1"/>
        <v>0.19874999999999995</v>
      </c>
      <c r="J22">
        <f t="shared" si="2"/>
        <v>65</v>
      </c>
      <c r="K22" s="8"/>
      <c r="L22" s="8">
        <f t="shared" si="3"/>
        <v>65</v>
      </c>
      <c r="M22">
        <f t="shared" si="4"/>
        <v>16.03</v>
      </c>
      <c r="N22" s="7">
        <f t="shared" si="5"/>
        <v>0.24661538461538463</v>
      </c>
      <c r="P22">
        <f t="shared" si="6"/>
        <v>59</v>
      </c>
      <c r="Q22">
        <f t="shared" si="7"/>
        <v>62</v>
      </c>
      <c r="R22">
        <f t="shared" si="8"/>
        <v>65</v>
      </c>
      <c r="Z22">
        <f>VLOOKUP(C22,[1]Sheet1!$B$2:$C$1355,2,0)</f>
        <v>56</v>
      </c>
    </row>
    <row r="23" spans="1:26" x14ac:dyDescent="0.35">
      <c r="A23" s="2">
        <v>22</v>
      </c>
      <c r="B23" s="2" t="s">
        <v>23</v>
      </c>
      <c r="C23" s="2" t="s">
        <v>31</v>
      </c>
      <c r="D23" s="3">
        <v>6.18</v>
      </c>
      <c r="E23" s="3">
        <v>57</v>
      </c>
      <c r="G23">
        <f t="shared" si="0"/>
        <v>10.969999999999999</v>
      </c>
      <c r="H23" s="7">
        <f t="shared" si="1"/>
        <v>0.19245614035087719</v>
      </c>
      <c r="J23">
        <f t="shared" si="2"/>
        <v>67</v>
      </c>
      <c r="K23" s="8"/>
      <c r="L23" s="8">
        <f t="shared" si="3"/>
        <v>67</v>
      </c>
      <c r="M23">
        <f t="shared" si="4"/>
        <v>16.919999999999998</v>
      </c>
      <c r="N23" s="7">
        <f t="shared" si="5"/>
        <v>0.25253731343283581</v>
      </c>
      <c r="P23">
        <f t="shared" si="6"/>
        <v>60</v>
      </c>
      <c r="Q23">
        <f t="shared" si="7"/>
        <v>63</v>
      </c>
      <c r="R23">
        <f t="shared" si="8"/>
        <v>66</v>
      </c>
      <c r="Z23">
        <f>VLOOKUP(C23,[1]Sheet1!$B$2:$C$1355,2,0)</f>
        <v>58</v>
      </c>
    </row>
    <row r="24" spans="1:26" x14ac:dyDescent="0.35">
      <c r="A24" s="2">
        <v>23</v>
      </c>
      <c r="B24" s="2" t="s">
        <v>23</v>
      </c>
      <c r="C24" s="2" t="s">
        <v>32</v>
      </c>
      <c r="D24" s="3">
        <v>5.73</v>
      </c>
      <c r="E24" s="3">
        <v>56</v>
      </c>
      <c r="G24">
        <f t="shared" si="0"/>
        <v>11.069999999999997</v>
      </c>
      <c r="H24" s="7">
        <f t="shared" si="1"/>
        <v>0.19767857142857137</v>
      </c>
      <c r="J24">
        <f t="shared" si="2"/>
        <v>66</v>
      </c>
      <c r="K24" s="8"/>
      <c r="L24" s="8">
        <f t="shared" si="3"/>
        <v>66</v>
      </c>
      <c r="M24">
        <f t="shared" si="4"/>
        <v>16.669999999999998</v>
      </c>
      <c r="N24" s="7">
        <f t="shared" si="5"/>
        <v>0.25257575757575756</v>
      </c>
      <c r="P24">
        <f t="shared" si="6"/>
        <v>59</v>
      </c>
      <c r="Q24">
        <f t="shared" si="7"/>
        <v>62</v>
      </c>
      <c r="R24">
        <f t="shared" si="8"/>
        <v>65</v>
      </c>
      <c r="Z24">
        <f>VLOOKUP(C24,[1]Sheet1!$B$2:$C$1355,2,0)</f>
        <v>58</v>
      </c>
    </row>
    <row r="25" spans="1:26" x14ac:dyDescent="0.35">
      <c r="A25" s="2">
        <v>24</v>
      </c>
      <c r="B25" s="2" t="s">
        <v>23</v>
      </c>
      <c r="C25" s="2" t="s">
        <v>33</v>
      </c>
      <c r="D25" s="3">
        <v>6.07</v>
      </c>
      <c r="E25" s="3">
        <v>56</v>
      </c>
      <c r="G25">
        <f t="shared" si="0"/>
        <v>10.729999999999997</v>
      </c>
      <c r="H25" s="7">
        <f t="shared" si="1"/>
        <v>0.19160714285714281</v>
      </c>
      <c r="J25">
        <f t="shared" si="2"/>
        <v>66</v>
      </c>
      <c r="K25" s="8"/>
      <c r="L25" s="8">
        <f t="shared" si="3"/>
        <v>66</v>
      </c>
      <c r="M25">
        <f t="shared" si="4"/>
        <v>16.329999999999998</v>
      </c>
      <c r="N25" s="7">
        <f t="shared" si="5"/>
        <v>0.24742424242424241</v>
      </c>
      <c r="P25">
        <f t="shared" si="6"/>
        <v>59</v>
      </c>
      <c r="Q25">
        <f t="shared" si="7"/>
        <v>62</v>
      </c>
      <c r="R25">
        <f t="shared" si="8"/>
        <v>65</v>
      </c>
      <c r="Z25">
        <f>VLOOKUP(C25,[1]Sheet1!$B$2:$C$1355,2,0)</f>
        <v>57</v>
      </c>
    </row>
    <row r="26" spans="1:26" x14ac:dyDescent="0.35">
      <c r="A26" s="2">
        <v>25</v>
      </c>
      <c r="B26" s="2" t="s">
        <v>23</v>
      </c>
      <c r="C26" s="2" t="s">
        <v>34</v>
      </c>
      <c r="D26" s="3">
        <v>5.77</v>
      </c>
      <c r="E26" s="3">
        <v>56</v>
      </c>
      <c r="G26">
        <f t="shared" si="0"/>
        <v>11.029999999999998</v>
      </c>
      <c r="H26" s="7">
        <f t="shared" si="1"/>
        <v>0.19696428571428568</v>
      </c>
      <c r="J26">
        <f t="shared" si="2"/>
        <v>66</v>
      </c>
      <c r="K26" s="8"/>
      <c r="L26" s="8">
        <f t="shared" si="3"/>
        <v>66</v>
      </c>
      <c r="M26">
        <f t="shared" si="4"/>
        <v>16.63</v>
      </c>
      <c r="N26" s="7">
        <f t="shared" si="5"/>
        <v>0.25196969696969695</v>
      </c>
      <c r="P26">
        <f t="shared" si="6"/>
        <v>59</v>
      </c>
      <c r="Q26">
        <f t="shared" si="7"/>
        <v>62</v>
      </c>
      <c r="R26">
        <f t="shared" si="8"/>
        <v>65</v>
      </c>
      <c r="Z26">
        <f>VLOOKUP(C26,[1]Sheet1!$B$2:$C$1355,2,0)</f>
        <v>58</v>
      </c>
    </row>
    <row r="27" spans="1:26" x14ac:dyDescent="0.35">
      <c r="A27" s="2">
        <v>26</v>
      </c>
      <c r="B27" s="2" t="s">
        <v>23</v>
      </c>
      <c r="C27" s="2" t="s">
        <v>35</v>
      </c>
      <c r="D27" s="3">
        <v>5.61</v>
      </c>
      <c r="E27" s="3">
        <v>56</v>
      </c>
      <c r="G27">
        <f t="shared" si="0"/>
        <v>11.189999999999998</v>
      </c>
      <c r="H27" s="7">
        <f t="shared" si="1"/>
        <v>0.19982142857142854</v>
      </c>
      <c r="J27">
        <f t="shared" si="2"/>
        <v>65</v>
      </c>
      <c r="K27" s="8"/>
      <c r="L27" s="8">
        <f t="shared" si="3"/>
        <v>65</v>
      </c>
      <c r="M27">
        <f t="shared" si="4"/>
        <v>16.09</v>
      </c>
      <c r="N27" s="7">
        <f t="shared" si="5"/>
        <v>0.24753846153846154</v>
      </c>
      <c r="P27">
        <f t="shared" si="6"/>
        <v>59</v>
      </c>
      <c r="Q27">
        <f t="shared" si="7"/>
        <v>62</v>
      </c>
      <c r="R27">
        <f t="shared" si="8"/>
        <v>65</v>
      </c>
      <c r="Z27">
        <f>VLOOKUP(C27,[1]Sheet1!$B$2:$C$1355,2,0)</f>
        <v>57</v>
      </c>
    </row>
    <row r="28" spans="1:26" x14ac:dyDescent="0.35">
      <c r="A28" s="2">
        <v>27</v>
      </c>
      <c r="B28" s="2" t="s">
        <v>23</v>
      </c>
      <c r="C28" s="2" t="s">
        <v>36</v>
      </c>
      <c r="D28" s="3">
        <v>5.75</v>
      </c>
      <c r="E28" s="3">
        <v>56</v>
      </c>
      <c r="G28">
        <f t="shared" si="0"/>
        <v>11.049999999999997</v>
      </c>
      <c r="H28" s="7">
        <f t="shared" si="1"/>
        <v>0.19732142857142851</v>
      </c>
      <c r="J28">
        <f t="shared" si="2"/>
        <v>66</v>
      </c>
      <c r="K28" s="8"/>
      <c r="L28" s="8">
        <f t="shared" si="3"/>
        <v>66</v>
      </c>
      <c r="M28">
        <f t="shared" si="4"/>
        <v>16.649999999999999</v>
      </c>
      <c r="N28" s="7">
        <f t="shared" si="5"/>
        <v>0.25227272727272726</v>
      </c>
      <c r="P28">
        <f t="shared" si="6"/>
        <v>59</v>
      </c>
      <c r="Q28">
        <f t="shared" si="7"/>
        <v>62</v>
      </c>
      <c r="R28">
        <f t="shared" si="8"/>
        <v>65</v>
      </c>
      <c r="Z28">
        <f>VLOOKUP(C28,[1]Sheet1!$B$2:$C$1355,2,0)</f>
        <v>58</v>
      </c>
    </row>
    <row r="29" spans="1:26" x14ac:dyDescent="0.35">
      <c r="A29" s="2">
        <v>28</v>
      </c>
      <c r="B29" s="2" t="s">
        <v>23</v>
      </c>
      <c r="C29" s="2" t="s">
        <v>37</v>
      </c>
      <c r="D29" s="3">
        <v>5.73</v>
      </c>
      <c r="E29" s="3">
        <v>56</v>
      </c>
      <c r="G29">
        <f t="shared" si="0"/>
        <v>11.069999999999997</v>
      </c>
      <c r="H29" s="7">
        <f t="shared" si="1"/>
        <v>0.19767857142857137</v>
      </c>
      <c r="J29">
        <f t="shared" si="2"/>
        <v>66</v>
      </c>
      <c r="K29" s="8"/>
      <c r="L29" s="8">
        <f t="shared" si="3"/>
        <v>66</v>
      </c>
      <c r="M29">
        <f t="shared" si="4"/>
        <v>16.669999999999998</v>
      </c>
      <c r="N29" s="7">
        <f t="shared" si="5"/>
        <v>0.25257575757575756</v>
      </c>
      <c r="P29">
        <f t="shared" si="6"/>
        <v>59</v>
      </c>
      <c r="Q29">
        <f t="shared" si="7"/>
        <v>62</v>
      </c>
      <c r="R29">
        <f t="shared" si="8"/>
        <v>65</v>
      </c>
      <c r="Z29">
        <f>VLOOKUP(C29,[1]Sheet1!$B$2:$C$1355,2,0)</f>
        <v>57</v>
      </c>
    </row>
    <row r="30" spans="1:26" x14ac:dyDescent="0.35">
      <c r="A30" s="2">
        <v>29</v>
      </c>
      <c r="B30" s="2" t="s">
        <v>38</v>
      </c>
      <c r="C30" s="2" t="s">
        <v>39</v>
      </c>
      <c r="D30" s="3">
        <v>10.61</v>
      </c>
      <c r="E30" s="3">
        <v>64</v>
      </c>
      <c r="G30">
        <f t="shared" si="0"/>
        <v>10.39</v>
      </c>
      <c r="H30" s="7">
        <f t="shared" si="1"/>
        <v>0.16234375000000001</v>
      </c>
      <c r="J30">
        <f t="shared" si="2"/>
        <v>76</v>
      </c>
      <c r="K30" s="8"/>
      <c r="L30" s="8">
        <f t="shared" si="3"/>
        <v>76</v>
      </c>
      <c r="M30">
        <f t="shared" si="4"/>
        <v>18.79</v>
      </c>
      <c r="N30" s="7">
        <f t="shared" si="5"/>
        <v>0.24723684210526314</v>
      </c>
      <c r="P30">
        <f t="shared" si="6"/>
        <v>67</v>
      </c>
      <c r="Q30">
        <f t="shared" si="7"/>
        <v>70</v>
      </c>
      <c r="R30">
        <f t="shared" si="8"/>
        <v>73</v>
      </c>
      <c r="Z30">
        <f>VLOOKUP(C30,[1]Sheet1!$B$2:$C$1355,2,0)</f>
        <v>69</v>
      </c>
    </row>
    <row r="31" spans="1:26" x14ac:dyDescent="0.35">
      <c r="A31" s="2">
        <v>30</v>
      </c>
      <c r="B31" s="2" t="s">
        <v>38</v>
      </c>
      <c r="C31" s="2" t="s">
        <v>40</v>
      </c>
      <c r="D31" s="3">
        <v>13.15</v>
      </c>
      <c r="E31" s="3">
        <v>71</v>
      </c>
      <c r="G31">
        <f t="shared" si="0"/>
        <v>12.749999999999998</v>
      </c>
      <c r="H31" s="7">
        <f t="shared" si="1"/>
        <v>0.17957746478873238</v>
      </c>
      <c r="J31">
        <f t="shared" si="2"/>
        <v>82</v>
      </c>
      <c r="K31" s="8"/>
      <c r="L31" s="8">
        <f t="shared" si="3"/>
        <v>82</v>
      </c>
      <c r="M31">
        <f t="shared" si="4"/>
        <v>20.449999999999996</v>
      </c>
      <c r="N31" s="7">
        <f t="shared" si="5"/>
        <v>0.24939024390243897</v>
      </c>
      <c r="P31">
        <f t="shared" si="6"/>
        <v>74</v>
      </c>
      <c r="Q31">
        <f t="shared" si="7"/>
        <v>77</v>
      </c>
      <c r="R31">
        <f t="shared" si="8"/>
        <v>80</v>
      </c>
      <c r="Z31" t="e">
        <f>VLOOKUP(C31,[1]Sheet1!$B$2:$C$1355,2,0)</f>
        <v>#N/A</v>
      </c>
    </row>
    <row r="32" spans="1:26" x14ac:dyDescent="0.35">
      <c r="A32" s="2">
        <v>31</v>
      </c>
      <c r="B32" s="2" t="s">
        <v>38</v>
      </c>
      <c r="C32" s="2" t="s">
        <v>41</v>
      </c>
      <c r="D32" s="3">
        <v>10.97</v>
      </c>
      <c r="E32" s="3">
        <v>66</v>
      </c>
      <c r="G32">
        <f t="shared" si="0"/>
        <v>11.429999999999998</v>
      </c>
      <c r="H32" s="7">
        <f t="shared" si="1"/>
        <v>0.17318181818181816</v>
      </c>
      <c r="J32">
        <f t="shared" si="2"/>
        <v>77</v>
      </c>
      <c r="K32" s="8"/>
      <c r="L32" s="8">
        <f t="shared" si="3"/>
        <v>77</v>
      </c>
      <c r="M32">
        <f t="shared" si="4"/>
        <v>19.129999999999995</v>
      </c>
      <c r="N32" s="7">
        <f t="shared" si="5"/>
        <v>0.24844155844155838</v>
      </c>
      <c r="P32">
        <f t="shared" si="6"/>
        <v>69</v>
      </c>
      <c r="Q32">
        <f t="shared" si="7"/>
        <v>72</v>
      </c>
      <c r="R32">
        <f t="shared" si="8"/>
        <v>75</v>
      </c>
      <c r="Z32">
        <f>VLOOKUP(C32,[1]Sheet1!$B$2:$C$1355,2,0)</f>
        <v>71</v>
      </c>
    </row>
    <row r="33" spans="1:26" x14ac:dyDescent="0.35">
      <c r="A33" s="2">
        <v>32</v>
      </c>
      <c r="B33" s="2" t="s">
        <v>38</v>
      </c>
      <c r="C33" s="2" t="s">
        <v>42</v>
      </c>
      <c r="D33" s="3">
        <v>10.42</v>
      </c>
      <c r="E33" s="2"/>
      <c r="G33">
        <f t="shared" si="0"/>
        <v>-13.219999999999999</v>
      </c>
      <c r="H33" s="7" t="e">
        <f t="shared" si="1"/>
        <v>#DIV/0!</v>
      </c>
      <c r="J33">
        <f t="shared" si="2"/>
        <v>76</v>
      </c>
      <c r="K33" s="8"/>
      <c r="L33" s="8">
        <f t="shared" si="3"/>
        <v>76</v>
      </c>
      <c r="M33">
        <f t="shared" si="4"/>
        <v>18.979999999999997</v>
      </c>
      <c r="N33" s="7">
        <f t="shared" si="5"/>
        <v>0.24973684210526312</v>
      </c>
      <c r="P33">
        <f t="shared" si="6"/>
        <v>3</v>
      </c>
      <c r="Q33">
        <f t="shared" si="7"/>
        <v>6</v>
      </c>
      <c r="R33">
        <f t="shared" si="8"/>
        <v>9</v>
      </c>
      <c r="Z33" t="e">
        <f>VLOOKUP(C33,[1]Sheet1!$B$2:$C$1355,2,0)</f>
        <v>#N/A</v>
      </c>
    </row>
    <row r="34" spans="1:26" x14ac:dyDescent="0.35">
      <c r="A34" s="2">
        <v>33</v>
      </c>
      <c r="B34" s="2" t="s">
        <v>38</v>
      </c>
      <c r="C34" s="2" t="s">
        <v>43</v>
      </c>
      <c r="D34" s="3">
        <v>11</v>
      </c>
      <c r="E34" s="3">
        <v>64</v>
      </c>
      <c r="G34">
        <f t="shared" ref="G34:G65" si="9">IFERROR(((E34-MIN(E34/2,30)-4)*0.7)-$D34,0)</f>
        <v>10</v>
      </c>
      <c r="H34" s="7">
        <f t="shared" ref="H34:H65" si="10">G34/E34</f>
        <v>0.15625</v>
      </c>
      <c r="J34">
        <f t="shared" ref="J34:J65" si="11">ROUND(IF(D34&lt;=3.2,28+10*(D34),(23.8+D34)/0.45),0)</f>
        <v>77</v>
      </c>
      <c r="K34" s="8"/>
      <c r="L34" s="8">
        <f t="shared" ref="L34:L65" si="12">MAX(J34,E34)</f>
        <v>77</v>
      </c>
      <c r="M34">
        <f t="shared" ref="M34:M65" si="13">((L34-(MIN(L34/2,30))-4)*0.7)-D34</f>
        <v>19.099999999999998</v>
      </c>
      <c r="N34" s="7">
        <f t="shared" ref="N34:N65" si="14">M34/L34</f>
        <v>0.24805194805194802</v>
      </c>
      <c r="P34">
        <f t="shared" ref="P34:P65" si="15">IF(L34&gt;E34,IF(E34+3&lt;=L34,E34+3,L34),E34)</f>
        <v>67</v>
      </c>
      <c r="Q34">
        <f t="shared" ref="Q34:Q65" si="16">IF(P34&lt;$L34,IF(P34+3&lt;=L34,P34+3,L34),P34)</f>
        <v>70</v>
      </c>
      <c r="R34">
        <f t="shared" ref="R34:R65" si="17">IF(Q34&lt;$L34,Q34+3,IF(Q34&gt;=L34,L34,Q34+3))</f>
        <v>73</v>
      </c>
      <c r="Z34">
        <f>VLOOKUP(C34,[1]Sheet1!$B$2:$C$1355,2,0)</f>
        <v>71</v>
      </c>
    </row>
    <row r="35" spans="1:26" x14ac:dyDescent="0.35">
      <c r="A35" s="2">
        <v>34</v>
      </c>
      <c r="B35" s="2" t="s">
        <v>38</v>
      </c>
      <c r="C35" s="2" t="s">
        <v>44</v>
      </c>
      <c r="D35" s="3">
        <v>10.85</v>
      </c>
      <c r="E35" s="3">
        <v>64</v>
      </c>
      <c r="G35">
        <f t="shared" si="9"/>
        <v>10.15</v>
      </c>
      <c r="H35" s="7">
        <f t="shared" si="10"/>
        <v>0.15859375000000001</v>
      </c>
      <c r="J35">
        <f t="shared" si="11"/>
        <v>77</v>
      </c>
      <c r="K35" s="8"/>
      <c r="L35" s="8">
        <f t="shared" si="12"/>
        <v>77</v>
      </c>
      <c r="M35">
        <f t="shared" si="13"/>
        <v>19.25</v>
      </c>
      <c r="N35" s="7">
        <f t="shared" si="14"/>
        <v>0.25</v>
      </c>
      <c r="P35">
        <f t="shared" si="15"/>
        <v>67</v>
      </c>
      <c r="Q35">
        <f t="shared" si="16"/>
        <v>70</v>
      </c>
      <c r="R35">
        <f t="shared" si="17"/>
        <v>73</v>
      </c>
      <c r="Z35">
        <f>VLOOKUP(C35,[1]Sheet1!$B$2:$C$1355,2,0)</f>
        <v>71</v>
      </c>
    </row>
    <row r="36" spans="1:26" x14ac:dyDescent="0.35">
      <c r="A36" s="2">
        <v>35</v>
      </c>
      <c r="B36" s="2" t="s">
        <v>38</v>
      </c>
      <c r="C36" s="2" t="s">
        <v>45</v>
      </c>
      <c r="D36" s="3">
        <v>10.97</v>
      </c>
      <c r="E36" s="3">
        <v>68</v>
      </c>
      <c r="G36">
        <f t="shared" si="9"/>
        <v>12.829999999999997</v>
      </c>
      <c r="H36" s="7">
        <f t="shared" si="10"/>
        <v>0.18867647058823525</v>
      </c>
      <c r="J36">
        <f t="shared" si="11"/>
        <v>77</v>
      </c>
      <c r="K36" s="8"/>
      <c r="L36" s="8">
        <f t="shared" si="12"/>
        <v>77</v>
      </c>
      <c r="M36">
        <f t="shared" si="13"/>
        <v>19.129999999999995</v>
      </c>
      <c r="N36" s="7">
        <f t="shared" si="14"/>
        <v>0.24844155844155838</v>
      </c>
      <c r="P36">
        <f t="shared" si="15"/>
        <v>71</v>
      </c>
      <c r="Q36">
        <f t="shared" si="16"/>
        <v>74</v>
      </c>
      <c r="R36">
        <f t="shared" si="17"/>
        <v>77</v>
      </c>
      <c r="Z36" t="e">
        <f>VLOOKUP(C36,[1]Sheet1!$B$2:$C$1355,2,0)</f>
        <v>#N/A</v>
      </c>
    </row>
    <row r="37" spans="1:26" x14ac:dyDescent="0.35">
      <c r="A37" s="2">
        <v>36</v>
      </c>
      <c r="B37" s="2" t="s">
        <v>38</v>
      </c>
      <c r="C37" s="2" t="s">
        <v>46</v>
      </c>
      <c r="D37" s="3">
        <v>11.22</v>
      </c>
      <c r="E37" s="3">
        <v>66</v>
      </c>
      <c r="G37">
        <f t="shared" si="9"/>
        <v>11.179999999999998</v>
      </c>
      <c r="H37" s="7">
        <f t="shared" si="10"/>
        <v>0.16939393939393937</v>
      </c>
      <c r="J37">
        <f t="shared" si="11"/>
        <v>78</v>
      </c>
      <c r="K37" s="8"/>
      <c r="L37" s="8">
        <f t="shared" si="12"/>
        <v>78</v>
      </c>
      <c r="M37">
        <f t="shared" si="13"/>
        <v>19.579999999999998</v>
      </c>
      <c r="N37" s="7">
        <f t="shared" si="14"/>
        <v>0.25102564102564101</v>
      </c>
      <c r="P37">
        <f t="shared" si="15"/>
        <v>69</v>
      </c>
      <c r="Q37">
        <f t="shared" si="16"/>
        <v>72</v>
      </c>
      <c r="R37">
        <f t="shared" si="17"/>
        <v>75</v>
      </c>
      <c r="Z37">
        <f>VLOOKUP(C37,[1]Sheet1!$B$2:$C$1355,2,0)</f>
        <v>73</v>
      </c>
    </row>
    <row r="38" spans="1:26" x14ac:dyDescent="0.35">
      <c r="A38" s="2">
        <v>37</v>
      </c>
      <c r="B38" s="2" t="s">
        <v>38</v>
      </c>
      <c r="C38" s="2" t="s">
        <v>47</v>
      </c>
      <c r="D38" s="3">
        <v>11.03</v>
      </c>
      <c r="E38" s="3">
        <v>65</v>
      </c>
      <c r="G38">
        <f t="shared" si="9"/>
        <v>10.67</v>
      </c>
      <c r="H38" s="7">
        <f t="shared" si="10"/>
        <v>0.16415384615384615</v>
      </c>
      <c r="J38">
        <f t="shared" si="11"/>
        <v>77</v>
      </c>
      <c r="K38" s="8"/>
      <c r="L38" s="8">
        <f t="shared" si="12"/>
        <v>77</v>
      </c>
      <c r="M38">
        <f t="shared" si="13"/>
        <v>19.07</v>
      </c>
      <c r="N38" s="7">
        <f t="shared" si="14"/>
        <v>0.24766233766233767</v>
      </c>
      <c r="P38">
        <f t="shared" si="15"/>
        <v>68</v>
      </c>
      <c r="Q38">
        <f t="shared" si="16"/>
        <v>71</v>
      </c>
      <c r="R38">
        <f t="shared" si="17"/>
        <v>74</v>
      </c>
      <c r="Z38">
        <f>VLOOKUP(C38,[1]Sheet1!$B$2:$C$1355,2,0)</f>
        <v>73</v>
      </c>
    </row>
    <row r="39" spans="1:26" x14ac:dyDescent="0.35">
      <c r="A39" s="2">
        <v>38</v>
      </c>
      <c r="B39" s="2" t="s">
        <v>38</v>
      </c>
      <c r="C39" s="2" t="s">
        <v>48</v>
      </c>
      <c r="D39" s="3">
        <v>17</v>
      </c>
      <c r="E39" s="3">
        <v>78</v>
      </c>
      <c r="G39">
        <f t="shared" si="9"/>
        <v>13.799999999999997</v>
      </c>
      <c r="H39" s="7">
        <f t="shared" si="10"/>
        <v>0.17692307692307688</v>
      </c>
      <c r="J39">
        <f t="shared" si="11"/>
        <v>91</v>
      </c>
      <c r="K39" s="8"/>
      <c r="L39" s="8">
        <f t="shared" si="12"/>
        <v>91</v>
      </c>
      <c r="M39">
        <f t="shared" si="13"/>
        <v>22.9</v>
      </c>
      <c r="N39" s="7">
        <f t="shared" si="14"/>
        <v>0.25164835164835164</v>
      </c>
      <c r="P39">
        <f t="shared" si="15"/>
        <v>81</v>
      </c>
      <c r="Q39">
        <f t="shared" si="16"/>
        <v>84</v>
      </c>
      <c r="R39">
        <f t="shared" si="17"/>
        <v>87</v>
      </c>
      <c r="Z39">
        <f>VLOOKUP(C39,[1]Sheet1!$B$2:$C$1355,2,0)</f>
        <v>85</v>
      </c>
    </row>
    <row r="40" spans="1:26" x14ac:dyDescent="0.35">
      <c r="A40" s="2">
        <v>39</v>
      </c>
      <c r="B40" s="2" t="s">
        <v>38</v>
      </c>
      <c r="C40" s="2" t="s">
        <v>49</v>
      </c>
      <c r="D40" s="3">
        <v>13.2</v>
      </c>
      <c r="E40" s="3">
        <v>68</v>
      </c>
      <c r="G40">
        <f t="shared" si="9"/>
        <v>10.599999999999998</v>
      </c>
      <c r="H40" s="7">
        <f t="shared" si="10"/>
        <v>0.15588235294117644</v>
      </c>
      <c r="J40">
        <f t="shared" si="11"/>
        <v>82</v>
      </c>
      <c r="K40" s="8"/>
      <c r="L40" s="8">
        <f t="shared" si="12"/>
        <v>82</v>
      </c>
      <c r="M40">
        <f t="shared" si="13"/>
        <v>20.399999999999995</v>
      </c>
      <c r="N40" s="7">
        <f t="shared" si="14"/>
        <v>0.24878048780487799</v>
      </c>
      <c r="P40">
        <f t="shared" si="15"/>
        <v>71</v>
      </c>
      <c r="Q40">
        <f t="shared" si="16"/>
        <v>74</v>
      </c>
      <c r="R40">
        <f t="shared" si="17"/>
        <v>77</v>
      </c>
      <c r="Z40">
        <f>VLOOKUP(C40,[1]Sheet1!$B$2:$C$1355,2,0)</f>
        <v>76</v>
      </c>
    </row>
    <row r="41" spans="1:26" x14ac:dyDescent="0.35">
      <c r="A41" s="2">
        <v>40</v>
      </c>
      <c r="B41" s="2" t="s">
        <v>38</v>
      </c>
      <c r="C41" s="2" t="s">
        <v>50</v>
      </c>
      <c r="D41" s="3">
        <v>13.15</v>
      </c>
      <c r="E41" s="3">
        <v>69</v>
      </c>
      <c r="G41">
        <f t="shared" si="9"/>
        <v>11.35</v>
      </c>
      <c r="H41" s="7">
        <f t="shared" si="10"/>
        <v>0.16449275362318841</v>
      </c>
      <c r="J41">
        <f t="shared" si="11"/>
        <v>82</v>
      </c>
      <c r="K41" s="8"/>
      <c r="L41" s="8">
        <f t="shared" si="12"/>
        <v>82</v>
      </c>
      <c r="M41">
        <f t="shared" si="13"/>
        <v>20.449999999999996</v>
      </c>
      <c r="N41" s="7">
        <f t="shared" si="14"/>
        <v>0.24939024390243897</v>
      </c>
      <c r="P41">
        <f t="shared" si="15"/>
        <v>72</v>
      </c>
      <c r="Q41">
        <f t="shared" si="16"/>
        <v>75</v>
      </c>
      <c r="R41">
        <f t="shared" si="17"/>
        <v>78</v>
      </c>
      <c r="Z41">
        <f>VLOOKUP(C41,[1]Sheet1!$B$2:$C$1355,2,0)</f>
        <v>75</v>
      </c>
    </row>
    <row r="42" spans="1:26" x14ac:dyDescent="0.35">
      <c r="A42" s="2">
        <v>41</v>
      </c>
      <c r="B42" s="2" t="s">
        <v>38</v>
      </c>
      <c r="C42" s="2" t="s">
        <v>51</v>
      </c>
      <c r="D42" s="3">
        <v>10.96</v>
      </c>
      <c r="E42" s="3">
        <v>65</v>
      </c>
      <c r="G42">
        <f t="shared" si="9"/>
        <v>10.739999999999998</v>
      </c>
      <c r="H42" s="7">
        <f t="shared" si="10"/>
        <v>0.16523076923076921</v>
      </c>
      <c r="J42">
        <f t="shared" si="11"/>
        <v>77</v>
      </c>
      <c r="K42" s="8"/>
      <c r="L42" s="8">
        <f t="shared" si="12"/>
        <v>77</v>
      </c>
      <c r="M42">
        <f t="shared" si="13"/>
        <v>19.139999999999997</v>
      </c>
      <c r="N42" s="7">
        <f t="shared" si="14"/>
        <v>0.24857142857142853</v>
      </c>
      <c r="P42">
        <f t="shared" si="15"/>
        <v>68</v>
      </c>
      <c r="Q42">
        <f t="shared" si="16"/>
        <v>71</v>
      </c>
      <c r="R42">
        <f t="shared" si="17"/>
        <v>74</v>
      </c>
      <c r="Z42">
        <f>VLOOKUP(C42,[1]Sheet1!$B$2:$C$1355,2,0)</f>
        <v>71</v>
      </c>
    </row>
    <row r="43" spans="1:26" x14ac:dyDescent="0.35">
      <c r="A43" s="2">
        <v>42</v>
      </c>
      <c r="B43" s="2" t="s">
        <v>38</v>
      </c>
      <c r="C43" s="2" t="s">
        <v>52</v>
      </c>
      <c r="D43" s="3">
        <v>6.65</v>
      </c>
      <c r="E43" s="3">
        <v>51</v>
      </c>
      <c r="G43">
        <f t="shared" si="9"/>
        <v>8.3999999999999986</v>
      </c>
      <c r="H43" s="7">
        <f t="shared" si="10"/>
        <v>0.16470588235294115</v>
      </c>
      <c r="J43">
        <f t="shared" si="11"/>
        <v>68</v>
      </c>
      <c r="K43" s="8"/>
      <c r="L43" s="8">
        <f t="shared" si="12"/>
        <v>68</v>
      </c>
      <c r="M43">
        <f t="shared" si="13"/>
        <v>17.149999999999999</v>
      </c>
      <c r="N43" s="7">
        <f t="shared" si="14"/>
        <v>0.25220588235294117</v>
      </c>
      <c r="P43">
        <f t="shared" si="15"/>
        <v>54</v>
      </c>
      <c r="Q43">
        <f t="shared" si="16"/>
        <v>57</v>
      </c>
      <c r="R43">
        <f t="shared" si="17"/>
        <v>60</v>
      </c>
      <c r="Z43">
        <f>VLOOKUP(C43,[1]Sheet1!$B$2:$C$1355,2,0)</f>
        <v>58</v>
      </c>
    </row>
    <row r="44" spans="1:26" x14ac:dyDescent="0.35">
      <c r="A44" s="2">
        <v>43</v>
      </c>
      <c r="B44" s="2" t="s">
        <v>38</v>
      </c>
      <c r="C44" s="2" t="s">
        <v>53</v>
      </c>
      <c r="D44" s="3">
        <v>5.4</v>
      </c>
      <c r="E44" s="3">
        <v>55</v>
      </c>
      <c r="G44">
        <f t="shared" si="9"/>
        <v>11.049999999999999</v>
      </c>
      <c r="H44" s="7">
        <f t="shared" si="10"/>
        <v>0.2009090909090909</v>
      </c>
      <c r="J44">
        <f t="shared" si="11"/>
        <v>65</v>
      </c>
      <c r="K44" s="8"/>
      <c r="L44" s="8">
        <f t="shared" si="12"/>
        <v>65</v>
      </c>
      <c r="M44">
        <f t="shared" si="13"/>
        <v>16.299999999999997</v>
      </c>
      <c r="N44" s="7">
        <f t="shared" si="14"/>
        <v>0.25076923076923074</v>
      </c>
      <c r="P44">
        <f t="shared" si="15"/>
        <v>58</v>
      </c>
      <c r="Q44">
        <f t="shared" si="16"/>
        <v>61</v>
      </c>
      <c r="R44">
        <f t="shared" si="17"/>
        <v>64</v>
      </c>
      <c r="Z44">
        <f>VLOOKUP(C44,[1]Sheet1!$B$2:$C$1355,2,0)</f>
        <v>59</v>
      </c>
    </row>
    <row r="45" spans="1:26" x14ac:dyDescent="0.35">
      <c r="A45" s="2">
        <v>44</v>
      </c>
      <c r="B45" s="2" t="s">
        <v>38</v>
      </c>
      <c r="C45" s="2" t="s">
        <v>54</v>
      </c>
      <c r="D45" s="3">
        <v>5.64</v>
      </c>
      <c r="E45" s="3">
        <v>56</v>
      </c>
      <c r="G45">
        <f t="shared" si="9"/>
        <v>11.159999999999997</v>
      </c>
      <c r="H45" s="7">
        <f t="shared" si="10"/>
        <v>0.19928571428571423</v>
      </c>
      <c r="J45">
        <f t="shared" si="11"/>
        <v>65</v>
      </c>
      <c r="K45" s="8"/>
      <c r="L45" s="8">
        <f t="shared" si="12"/>
        <v>65</v>
      </c>
      <c r="M45">
        <f t="shared" si="13"/>
        <v>16.059999999999999</v>
      </c>
      <c r="N45" s="7">
        <f t="shared" si="14"/>
        <v>0.24707692307692306</v>
      </c>
      <c r="P45">
        <f t="shared" si="15"/>
        <v>59</v>
      </c>
      <c r="Q45">
        <f t="shared" si="16"/>
        <v>62</v>
      </c>
      <c r="R45">
        <f t="shared" si="17"/>
        <v>65</v>
      </c>
      <c r="Z45">
        <f>VLOOKUP(C45,[1]Sheet1!$B$2:$C$1355,2,0)</f>
        <v>59</v>
      </c>
    </row>
    <row r="46" spans="1:26" x14ac:dyDescent="0.35">
      <c r="A46" s="2">
        <v>45</v>
      </c>
      <c r="B46" s="2" t="s">
        <v>38</v>
      </c>
      <c r="C46" s="2" t="s">
        <v>55</v>
      </c>
      <c r="D46" s="3">
        <v>5.21</v>
      </c>
      <c r="E46" s="3">
        <v>55</v>
      </c>
      <c r="G46">
        <f t="shared" si="9"/>
        <v>11.239999999999998</v>
      </c>
      <c r="H46" s="7">
        <f t="shared" si="10"/>
        <v>0.20436363636363633</v>
      </c>
      <c r="J46">
        <f t="shared" si="11"/>
        <v>64</v>
      </c>
      <c r="K46" s="8"/>
      <c r="L46" s="8">
        <f t="shared" si="12"/>
        <v>64</v>
      </c>
      <c r="M46">
        <f t="shared" si="13"/>
        <v>15.79</v>
      </c>
      <c r="N46" s="7">
        <f t="shared" si="14"/>
        <v>0.24671874999999999</v>
      </c>
      <c r="P46">
        <f t="shared" si="15"/>
        <v>58</v>
      </c>
      <c r="Q46">
        <f t="shared" si="16"/>
        <v>61</v>
      </c>
      <c r="R46">
        <f t="shared" si="17"/>
        <v>64</v>
      </c>
      <c r="Z46">
        <f>VLOOKUP(C46,[1]Sheet1!$B$2:$C$1355,2,0)</f>
        <v>59</v>
      </c>
    </row>
    <row r="47" spans="1:26" x14ac:dyDescent="0.35">
      <c r="A47" s="2">
        <v>46</v>
      </c>
      <c r="B47" s="2" t="s">
        <v>38</v>
      </c>
      <c r="C47" s="2" t="s">
        <v>56</v>
      </c>
      <c r="D47" s="3">
        <v>3.65</v>
      </c>
      <c r="E47" s="3">
        <v>55</v>
      </c>
      <c r="G47">
        <f t="shared" si="9"/>
        <v>12.799999999999999</v>
      </c>
      <c r="H47" s="7">
        <f t="shared" si="10"/>
        <v>0.2327272727272727</v>
      </c>
      <c r="J47">
        <f t="shared" si="11"/>
        <v>61</v>
      </c>
      <c r="K47" s="8"/>
      <c r="L47" s="8">
        <f t="shared" si="12"/>
        <v>61</v>
      </c>
      <c r="M47">
        <f t="shared" si="13"/>
        <v>15.249999999999998</v>
      </c>
      <c r="N47" s="7">
        <f t="shared" si="14"/>
        <v>0.24999999999999997</v>
      </c>
      <c r="P47">
        <f t="shared" si="15"/>
        <v>58</v>
      </c>
      <c r="Q47">
        <f t="shared" si="16"/>
        <v>61</v>
      </c>
      <c r="R47">
        <f t="shared" si="17"/>
        <v>61</v>
      </c>
      <c r="Z47">
        <f>VLOOKUP(C47,[1]Sheet1!$B$2:$C$1355,2,0)</f>
        <v>59</v>
      </c>
    </row>
    <row r="48" spans="1:26" x14ac:dyDescent="0.35">
      <c r="A48" s="2">
        <v>47</v>
      </c>
      <c r="B48" s="2" t="s">
        <v>38</v>
      </c>
      <c r="C48" s="2" t="s">
        <v>57</v>
      </c>
      <c r="D48" s="3">
        <v>3.75</v>
      </c>
      <c r="E48" s="2">
        <v>59</v>
      </c>
      <c r="G48">
        <f t="shared" si="9"/>
        <v>14.099999999999998</v>
      </c>
      <c r="H48" s="7">
        <f t="shared" si="10"/>
        <v>0.23898305084745758</v>
      </c>
      <c r="J48">
        <f t="shared" si="11"/>
        <v>61</v>
      </c>
      <c r="K48" s="8"/>
      <c r="L48" s="8">
        <f t="shared" si="12"/>
        <v>61</v>
      </c>
      <c r="M48">
        <f t="shared" si="13"/>
        <v>15.149999999999999</v>
      </c>
      <c r="N48" s="7">
        <f t="shared" si="14"/>
        <v>0.24836065573770488</v>
      </c>
      <c r="P48">
        <f t="shared" si="15"/>
        <v>61</v>
      </c>
      <c r="Q48">
        <f t="shared" si="16"/>
        <v>61</v>
      </c>
      <c r="R48">
        <f t="shared" si="17"/>
        <v>61</v>
      </c>
      <c r="Z48" t="e">
        <f>VLOOKUP(C48,[1]Sheet1!$B$2:$C$1355,2,0)</f>
        <v>#N/A</v>
      </c>
    </row>
    <row r="49" spans="1:26" x14ac:dyDescent="0.35">
      <c r="A49" s="2">
        <v>48</v>
      </c>
      <c r="B49" s="2" t="s">
        <v>38</v>
      </c>
      <c r="C49" s="2" t="s">
        <v>58</v>
      </c>
      <c r="D49" s="3">
        <v>5.43</v>
      </c>
      <c r="E49" s="3">
        <v>55</v>
      </c>
      <c r="G49">
        <f t="shared" si="9"/>
        <v>11.02</v>
      </c>
      <c r="H49" s="7">
        <f t="shared" si="10"/>
        <v>0.20036363636363635</v>
      </c>
      <c r="J49">
        <f t="shared" si="11"/>
        <v>65</v>
      </c>
      <c r="K49" s="8"/>
      <c r="L49" s="8">
        <f t="shared" si="12"/>
        <v>65</v>
      </c>
      <c r="M49">
        <f t="shared" si="13"/>
        <v>16.27</v>
      </c>
      <c r="N49" s="7">
        <f t="shared" si="14"/>
        <v>0.25030769230769229</v>
      </c>
      <c r="P49">
        <f t="shared" si="15"/>
        <v>58</v>
      </c>
      <c r="Q49">
        <f t="shared" si="16"/>
        <v>61</v>
      </c>
      <c r="R49">
        <f t="shared" si="17"/>
        <v>64</v>
      </c>
      <c r="Z49">
        <f>VLOOKUP(C49,[1]Sheet1!$B$2:$C$1355,2,0)</f>
        <v>59</v>
      </c>
    </row>
    <row r="50" spans="1:26" x14ac:dyDescent="0.35">
      <c r="A50" s="2">
        <v>49</v>
      </c>
      <c r="B50" s="2" t="s">
        <v>38</v>
      </c>
      <c r="C50" s="2" t="s">
        <v>59</v>
      </c>
      <c r="D50" s="3">
        <v>5.39</v>
      </c>
      <c r="E50" s="3">
        <v>55</v>
      </c>
      <c r="G50">
        <f t="shared" si="9"/>
        <v>11.059999999999999</v>
      </c>
      <c r="H50" s="7">
        <f t="shared" si="10"/>
        <v>0.20109090909090907</v>
      </c>
      <c r="J50">
        <f t="shared" si="11"/>
        <v>65</v>
      </c>
      <c r="K50" s="8"/>
      <c r="L50" s="8">
        <f t="shared" si="12"/>
        <v>65</v>
      </c>
      <c r="M50">
        <f t="shared" si="13"/>
        <v>16.309999999999999</v>
      </c>
      <c r="N50" s="7">
        <f t="shared" si="14"/>
        <v>0.25092307692307692</v>
      </c>
      <c r="P50">
        <f t="shared" si="15"/>
        <v>58</v>
      </c>
      <c r="Q50">
        <f t="shared" si="16"/>
        <v>61</v>
      </c>
      <c r="R50">
        <f t="shared" si="17"/>
        <v>64</v>
      </c>
      <c r="Z50">
        <f>VLOOKUP(C50,[1]Sheet1!$B$2:$C$1355,2,0)</f>
        <v>59</v>
      </c>
    </row>
    <row r="51" spans="1:26" x14ac:dyDescent="0.35">
      <c r="A51" s="2">
        <v>50</v>
      </c>
      <c r="B51" s="2" t="s">
        <v>38</v>
      </c>
      <c r="C51" s="2" t="s">
        <v>60</v>
      </c>
      <c r="D51" s="3">
        <v>5.9</v>
      </c>
      <c r="E51" s="3">
        <v>57</v>
      </c>
      <c r="G51">
        <f t="shared" si="9"/>
        <v>11.249999999999998</v>
      </c>
      <c r="H51" s="7">
        <f t="shared" si="10"/>
        <v>0.19736842105263155</v>
      </c>
      <c r="J51">
        <f t="shared" si="11"/>
        <v>66</v>
      </c>
      <c r="K51" s="8"/>
      <c r="L51" s="8">
        <f t="shared" si="12"/>
        <v>66</v>
      </c>
      <c r="M51">
        <f t="shared" si="13"/>
        <v>16.5</v>
      </c>
      <c r="N51" s="7">
        <f t="shared" si="14"/>
        <v>0.25</v>
      </c>
      <c r="P51">
        <f t="shared" si="15"/>
        <v>60</v>
      </c>
      <c r="Q51">
        <f t="shared" si="16"/>
        <v>63</v>
      </c>
      <c r="R51">
        <f t="shared" si="17"/>
        <v>66</v>
      </c>
      <c r="Z51">
        <f>VLOOKUP(C51,[1]Sheet1!$B$2:$C$1355,2,0)</f>
        <v>62</v>
      </c>
    </row>
    <row r="52" spans="1:26" x14ac:dyDescent="0.35">
      <c r="A52" s="2">
        <v>51</v>
      </c>
      <c r="B52" s="2" t="s">
        <v>38</v>
      </c>
      <c r="C52" s="2" t="s">
        <v>61</v>
      </c>
      <c r="D52" s="3">
        <v>5.7</v>
      </c>
      <c r="E52" s="3">
        <v>56</v>
      </c>
      <c r="G52">
        <f t="shared" si="9"/>
        <v>11.099999999999998</v>
      </c>
      <c r="H52" s="7">
        <f t="shared" si="10"/>
        <v>0.19821428571428568</v>
      </c>
      <c r="J52">
        <f t="shared" si="11"/>
        <v>66</v>
      </c>
      <c r="K52" s="8"/>
      <c r="L52" s="8">
        <f t="shared" si="12"/>
        <v>66</v>
      </c>
      <c r="M52">
        <f t="shared" si="13"/>
        <v>16.7</v>
      </c>
      <c r="N52" s="7">
        <f t="shared" si="14"/>
        <v>0.25303030303030299</v>
      </c>
      <c r="P52">
        <f t="shared" si="15"/>
        <v>59</v>
      </c>
      <c r="Q52">
        <f t="shared" si="16"/>
        <v>62</v>
      </c>
      <c r="R52">
        <f t="shared" si="17"/>
        <v>65</v>
      </c>
      <c r="Z52">
        <f>VLOOKUP(C52,[1]Sheet1!$B$2:$C$1355,2,0)</f>
        <v>62</v>
      </c>
    </row>
    <row r="53" spans="1:26" x14ac:dyDescent="0.35">
      <c r="A53" s="2">
        <v>52</v>
      </c>
      <c r="B53" s="2" t="s">
        <v>38</v>
      </c>
      <c r="C53" s="2" t="s">
        <v>62</v>
      </c>
      <c r="D53" s="3">
        <v>5.66</v>
      </c>
      <c r="E53" s="3">
        <v>56</v>
      </c>
      <c r="G53">
        <f t="shared" si="9"/>
        <v>11.139999999999997</v>
      </c>
      <c r="H53" s="7">
        <f t="shared" si="10"/>
        <v>0.19892857142857137</v>
      </c>
      <c r="J53">
        <f t="shared" si="11"/>
        <v>65</v>
      </c>
      <c r="K53" s="8"/>
      <c r="L53" s="8">
        <f t="shared" si="12"/>
        <v>65</v>
      </c>
      <c r="M53">
        <f t="shared" si="13"/>
        <v>16.04</v>
      </c>
      <c r="N53" s="7">
        <f t="shared" si="14"/>
        <v>0.24676923076923077</v>
      </c>
      <c r="P53">
        <f t="shared" si="15"/>
        <v>59</v>
      </c>
      <c r="Q53">
        <f t="shared" si="16"/>
        <v>62</v>
      </c>
      <c r="R53">
        <f t="shared" si="17"/>
        <v>65</v>
      </c>
      <c r="Z53">
        <f>VLOOKUP(C53,[1]Sheet1!$B$2:$C$1355,2,0)</f>
        <v>62</v>
      </c>
    </row>
    <row r="54" spans="1:26" x14ac:dyDescent="0.35">
      <c r="A54" s="2">
        <v>53</v>
      </c>
      <c r="B54" s="2" t="s">
        <v>38</v>
      </c>
      <c r="C54" s="2" t="s">
        <v>63</v>
      </c>
      <c r="D54" s="3">
        <v>5.49</v>
      </c>
      <c r="E54" s="3">
        <v>55</v>
      </c>
      <c r="G54">
        <f t="shared" si="9"/>
        <v>10.959999999999999</v>
      </c>
      <c r="H54" s="7">
        <f t="shared" si="10"/>
        <v>0.19927272727272727</v>
      </c>
      <c r="J54">
        <f t="shared" si="11"/>
        <v>65</v>
      </c>
      <c r="K54" s="8"/>
      <c r="L54" s="8">
        <f t="shared" si="12"/>
        <v>65</v>
      </c>
      <c r="M54">
        <f t="shared" si="13"/>
        <v>16.21</v>
      </c>
      <c r="N54" s="7">
        <f t="shared" si="14"/>
        <v>0.2493846153846154</v>
      </c>
      <c r="P54">
        <f t="shared" si="15"/>
        <v>58</v>
      </c>
      <c r="Q54">
        <f t="shared" si="16"/>
        <v>61</v>
      </c>
      <c r="R54">
        <f t="shared" si="17"/>
        <v>64</v>
      </c>
      <c r="Z54">
        <f>VLOOKUP(C54,[1]Sheet1!$B$2:$C$1355,2,0)</f>
        <v>62</v>
      </c>
    </row>
    <row r="55" spans="1:26" x14ac:dyDescent="0.35">
      <c r="A55" s="2">
        <v>54</v>
      </c>
      <c r="B55" s="2" t="s">
        <v>38</v>
      </c>
      <c r="C55" s="2" t="s">
        <v>64</v>
      </c>
      <c r="D55" s="3">
        <v>5.34</v>
      </c>
      <c r="E55" s="3">
        <v>55</v>
      </c>
      <c r="G55">
        <f t="shared" si="9"/>
        <v>11.11</v>
      </c>
      <c r="H55" s="7">
        <f t="shared" si="10"/>
        <v>0.20199999999999999</v>
      </c>
      <c r="J55">
        <f t="shared" si="11"/>
        <v>65</v>
      </c>
      <c r="K55" s="8"/>
      <c r="L55" s="8">
        <f t="shared" si="12"/>
        <v>65</v>
      </c>
      <c r="M55">
        <f t="shared" si="13"/>
        <v>16.36</v>
      </c>
      <c r="N55" s="7">
        <f t="shared" si="14"/>
        <v>0.25169230769230766</v>
      </c>
      <c r="P55">
        <f t="shared" si="15"/>
        <v>58</v>
      </c>
      <c r="Q55">
        <f t="shared" si="16"/>
        <v>61</v>
      </c>
      <c r="R55">
        <f t="shared" si="17"/>
        <v>64</v>
      </c>
      <c r="Z55">
        <f>VLOOKUP(C55,[1]Sheet1!$B$2:$C$1355,2,0)</f>
        <v>62</v>
      </c>
    </row>
    <row r="56" spans="1:26" x14ac:dyDescent="0.35">
      <c r="A56" s="2">
        <v>55</v>
      </c>
      <c r="B56" s="2" t="s">
        <v>38</v>
      </c>
      <c r="C56" s="2" t="s">
        <v>65</v>
      </c>
      <c r="D56" s="3">
        <v>5.47</v>
      </c>
      <c r="E56" s="3">
        <v>54</v>
      </c>
      <c r="G56">
        <f t="shared" si="9"/>
        <v>10.629999999999999</v>
      </c>
      <c r="H56" s="7">
        <f t="shared" si="10"/>
        <v>0.19685185185185183</v>
      </c>
      <c r="J56">
        <f t="shared" si="11"/>
        <v>65</v>
      </c>
      <c r="K56" s="8"/>
      <c r="L56" s="8">
        <f t="shared" si="12"/>
        <v>65</v>
      </c>
      <c r="M56">
        <f t="shared" si="13"/>
        <v>16.23</v>
      </c>
      <c r="N56" s="7">
        <f t="shared" si="14"/>
        <v>0.24969230769230769</v>
      </c>
      <c r="P56">
        <f t="shared" si="15"/>
        <v>57</v>
      </c>
      <c r="Q56">
        <f t="shared" si="16"/>
        <v>60</v>
      </c>
      <c r="R56">
        <f t="shared" si="17"/>
        <v>63</v>
      </c>
      <c r="Z56">
        <f>VLOOKUP(C56,[1]Sheet1!$B$2:$C$1355,2,0)</f>
        <v>62</v>
      </c>
    </row>
    <row r="57" spans="1:26" x14ac:dyDescent="0.35">
      <c r="A57" s="2">
        <v>56</v>
      </c>
      <c r="B57" s="2" t="s">
        <v>38</v>
      </c>
      <c r="C57" s="2" t="s">
        <v>66</v>
      </c>
      <c r="D57" s="3">
        <v>5.46</v>
      </c>
      <c r="E57" s="3">
        <v>56</v>
      </c>
      <c r="G57">
        <f t="shared" si="9"/>
        <v>11.339999999999996</v>
      </c>
      <c r="H57" s="7">
        <f t="shared" si="10"/>
        <v>0.20249999999999993</v>
      </c>
      <c r="J57">
        <f t="shared" si="11"/>
        <v>65</v>
      </c>
      <c r="K57" s="8"/>
      <c r="L57" s="8">
        <f t="shared" si="12"/>
        <v>65</v>
      </c>
      <c r="M57">
        <f t="shared" si="13"/>
        <v>16.239999999999998</v>
      </c>
      <c r="N57" s="7">
        <f t="shared" si="14"/>
        <v>0.24984615384615383</v>
      </c>
      <c r="P57">
        <f t="shared" si="15"/>
        <v>59</v>
      </c>
      <c r="Q57">
        <f t="shared" si="16"/>
        <v>62</v>
      </c>
      <c r="R57">
        <f t="shared" si="17"/>
        <v>65</v>
      </c>
      <c r="Z57">
        <f>VLOOKUP(C57,[1]Sheet1!$B$2:$C$1355,2,0)</f>
        <v>62</v>
      </c>
    </row>
    <row r="58" spans="1:26" x14ac:dyDescent="0.35">
      <c r="A58" s="2">
        <v>57</v>
      </c>
      <c r="B58" s="2" t="s">
        <v>38</v>
      </c>
      <c r="C58" s="2" t="s">
        <v>67</v>
      </c>
      <c r="D58" s="3">
        <v>8.59</v>
      </c>
      <c r="E58" s="3">
        <v>52</v>
      </c>
      <c r="G58">
        <f t="shared" si="9"/>
        <v>6.8099999999999987</v>
      </c>
      <c r="H58" s="7">
        <f t="shared" si="10"/>
        <v>0.13096153846153843</v>
      </c>
      <c r="J58">
        <f t="shared" si="11"/>
        <v>72</v>
      </c>
      <c r="K58" s="8"/>
      <c r="L58" s="8">
        <f t="shared" si="12"/>
        <v>72</v>
      </c>
      <c r="M58">
        <f t="shared" si="13"/>
        <v>18.009999999999998</v>
      </c>
      <c r="N58" s="7">
        <f t="shared" si="14"/>
        <v>0.25013888888888886</v>
      </c>
      <c r="P58">
        <f t="shared" si="15"/>
        <v>55</v>
      </c>
      <c r="Q58">
        <f t="shared" si="16"/>
        <v>58</v>
      </c>
      <c r="R58">
        <f t="shared" si="17"/>
        <v>61</v>
      </c>
      <c r="Z58">
        <f>VLOOKUP(C58,[1]Sheet1!$B$2:$C$1355,2,0)</f>
        <v>58</v>
      </c>
    </row>
    <row r="59" spans="1:26" x14ac:dyDescent="0.35">
      <c r="A59" s="2">
        <v>58</v>
      </c>
      <c r="B59" s="2" t="s">
        <v>38</v>
      </c>
      <c r="C59" s="2" t="s">
        <v>68</v>
      </c>
      <c r="D59" s="3">
        <v>8.56</v>
      </c>
      <c r="E59" s="3">
        <v>53</v>
      </c>
      <c r="G59">
        <f t="shared" si="9"/>
        <v>7.1899999999999977</v>
      </c>
      <c r="H59" s="7">
        <f t="shared" si="10"/>
        <v>0.13566037735849051</v>
      </c>
      <c r="J59">
        <f t="shared" si="11"/>
        <v>72</v>
      </c>
      <c r="K59" s="8"/>
      <c r="L59" s="8">
        <f t="shared" si="12"/>
        <v>72</v>
      </c>
      <c r="M59">
        <f t="shared" si="13"/>
        <v>18.04</v>
      </c>
      <c r="N59" s="7">
        <f t="shared" si="14"/>
        <v>0.25055555555555553</v>
      </c>
      <c r="P59">
        <f t="shared" si="15"/>
        <v>56</v>
      </c>
      <c r="Q59">
        <f t="shared" si="16"/>
        <v>59</v>
      </c>
      <c r="R59">
        <f t="shared" si="17"/>
        <v>62</v>
      </c>
      <c r="Z59">
        <f>VLOOKUP(C59,[1]Sheet1!$B$2:$C$1355,2,0)</f>
        <v>58</v>
      </c>
    </row>
    <row r="60" spans="1:26" x14ac:dyDescent="0.35">
      <c r="A60" s="2">
        <v>59</v>
      </c>
      <c r="B60" s="2" t="s">
        <v>38</v>
      </c>
      <c r="C60" s="2" t="s">
        <v>69</v>
      </c>
      <c r="D60" s="3">
        <v>8.2899999999999991</v>
      </c>
      <c r="E60" s="3">
        <v>54</v>
      </c>
      <c r="G60">
        <f t="shared" si="9"/>
        <v>7.8099999999999987</v>
      </c>
      <c r="H60" s="7">
        <f t="shared" si="10"/>
        <v>0.14462962962962961</v>
      </c>
      <c r="J60">
        <f t="shared" si="11"/>
        <v>71</v>
      </c>
      <c r="K60" s="8"/>
      <c r="L60" s="8">
        <f t="shared" si="12"/>
        <v>71</v>
      </c>
      <c r="M60">
        <f t="shared" si="13"/>
        <v>17.61</v>
      </c>
      <c r="N60" s="7">
        <f t="shared" si="14"/>
        <v>0.2480281690140845</v>
      </c>
      <c r="P60">
        <f t="shared" si="15"/>
        <v>57</v>
      </c>
      <c r="Q60">
        <f t="shared" si="16"/>
        <v>60</v>
      </c>
      <c r="R60">
        <f t="shared" si="17"/>
        <v>63</v>
      </c>
      <c r="Z60">
        <f>VLOOKUP(C60,[1]Sheet1!$B$2:$C$1355,2,0)</f>
        <v>58</v>
      </c>
    </row>
    <row r="61" spans="1:26" x14ac:dyDescent="0.35">
      <c r="A61" s="2">
        <v>60</v>
      </c>
      <c r="B61" s="2" t="s">
        <v>38</v>
      </c>
      <c r="C61" s="2" t="s">
        <v>70</v>
      </c>
      <c r="D61" s="3">
        <v>8.49</v>
      </c>
      <c r="E61" s="3">
        <v>55</v>
      </c>
      <c r="G61">
        <f t="shared" si="9"/>
        <v>7.9599999999999991</v>
      </c>
      <c r="H61" s="7">
        <f t="shared" si="10"/>
        <v>0.1447272727272727</v>
      </c>
      <c r="J61">
        <f t="shared" si="11"/>
        <v>72</v>
      </c>
      <c r="K61" s="8"/>
      <c r="L61" s="8">
        <f t="shared" si="12"/>
        <v>72</v>
      </c>
      <c r="M61">
        <f t="shared" si="13"/>
        <v>18.11</v>
      </c>
      <c r="N61" s="7">
        <f t="shared" si="14"/>
        <v>0.25152777777777779</v>
      </c>
      <c r="P61">
        <f t="shared" si="15"/>
        <v>58</v>
      </c>
      <c r="Q61">
        <f t="shared" si="16"/>
        <v>61</v>
      </c>
      <c r="R61">
        <f t="shared" si="17"/>
        <v>64</v>
      </c>
      <c r="Z61">
        <f>VLOOKUP(C61,[1]Sheet1!$B$2:$C$1355,2,0)</f>
        <v>58</v>
      </c>
    </row>
    <row r="62" spans="1:26" x14ac:dyDescent="0.35">
      <c r="A62" s="2">
        <v>61</v>
      </c>
      <c r="B62" s="2" t="s">
        <v>38</v>
      </c>
      <c r="C62" s="2" t="s">
        <v>71</v>
      </c>
      <c r="D62" s="3">
        <v>8.83</v>
      </c>
      <c r="E62" s="3">
        <v>55</v>
      </c>
      <c r="G62">
        <f t="shared" si="9"/>
        <v>7.6199999999999992</v>
      </c>
      <c r="H62" s="7">
        <f t="shared" si="10"/>
        <v>0.13854545454545453</v>
      </c>
      <c r="J62">
        <f t="shared" si="11"/>
        <v>73</v>
      </c>
      <c r="K62" s="8"/>
      <c r="L62" s="8">
        <f t="shared" si="12"/>
        <v>73</v>
      </c>
      <c r="M62">
        <f t="shared" si="13"/>
        <v>18.47</v>
      </c>
      <c r="N62" s="7">
        <f t="shared" si="14"/>
        <v>0.25301369863013695</v>
      </c>
      <c r="P62">
        <f t="shared" si="15"/>
        <v>58</v>
      </c>
      <c r="Q62">
        <f t="shared" si="16"/>
        <v>61</v>
      </c>
      <c r="R62">
        <f t="shared" si="17"/>
        <v>64</v>
      </c>
      <c r="Z62">
        <f>VLOOKUP(C62,[1]Sheet1!$B$2:$C$1355,2,0)</f>
        <v>59</v>
      </c>
    </row>
    <row r="63" spans="1:26" x14ac:dyDescent="0.35">
      <c r="A63" s="2">
        <v>62</v>
      </c>
      <c r="B63" s="2" t="s">
        <v>38</v>
      </c>
      <c r="C63" s="2" t="s">
        <v>72</v>
      </c>
      <c r="D63" s="3">
        <v>6.49</v>
      </c>
      <c r="E63" s="3">
        <v>42</v>
      </c>
      <c r="G63">
        <f t="shared" si="9"/>
        <v>5.4099999999999984</v>
      </c>
      <c r="H63" s="7">
        <f t="shared" si="10"/>
        <v>0.12880952380952376</v>
      </c>
      <c r="J63">
        <f t="shared" si="11"/>
        <v>67</v>
      </c>
      <c r="K63" s="8"/>
      <c r="L63" s="8">
        <f t="shared" si="12"/>
        <v>67</v>
      </c>
      <c r="M63">
        <f t="shared" si="13"/>
        <v>16.61</v>
      </c>
      <c r="N63" s="7">
        <f t="shared" si="14"/>
        <v>0.24791044776119403</v>
      </c>
      <c r="P63">
        <f t="shared" si="15"/>
        <v>45</v>
      </c>
      <c r="Q63">
        <f t="shared" si="16"/>
        <v>48</v>
      </c>
      <c r="R63">
        <f t="shared" si="17"/>
        <v>51</v>
      </c>
      <c r="Z63">
        <f>VLOOKUP(C63,[1]Sheet1!$B$2:$C$1355,2,0)</f>
        <v>46</v>
      </c>
    </row>
    <row r="64" spans="1:26" x14ac:dyDescent="0.35">
      <c r="A64" s="2">
        <v>63</v>
      </c>
      <c r="B64" s="2" t="s">
        <v>38</v>
      </c>
      <c r="C64" s="2" t="s">
        <v>73</v>
      </c>
      <c r="D64" s="3">
        <v>6.46</v>
      </c>
      <c r="E64" s="3">
        <v>44</v>
      </c>
      <c r="G64">
        <f t="shared" si="9"/>
        <v>6.14</v>
      </c>
      <c r="H64" s="7">
        <f t="shared" si="10"/>
        <v>0.13954545454545453</v>
      </c>
      <c r="J64">
        <f t="shared" si="11"/>
        <v>67</v>
      </c>
      <c r="K64" s="8"/>
      <c r="L64" s="8">
        <f t="shared" si="12"/>
        <v>67</v>
      </c>
      <c r="M64">
        <f t="shared" si="13"/>
        <v>16.639999999999997</v>
      </c>
      <c r="N64" s="7">
        <f t="shared" si="14"/>
        <v>0.24835820895522384</v>
      </c>
      <c r="P64">
        <f t="shared" si="15"/>
        <v>47</v>
      </c>
      <c r="Q64">
        <f t="shared" si="16"/>
        <v>50</v>
      </c>
      <c r="R64">
        <f t="shared" si="17"/>
        <v>53</v>
      </c>
      <c r="Z64">
        <f>VLOOKUP(C64,[1]Sheet1!$B$2:$C$1355,2,0)</f>
        <v>48</v>
      </c>
    </row>
    <row r="65" spans="1:26" x14ac:dyDescent="0.35">
      <c r="A65" s="2">
        <v>64</v>
      </c>
      <c r="B65" s="2" t="s">
        <v>38</v>
      </c>
      <c r="C65" s="2" t="s">
        <v>74</v>
      </c>
      <c r="D65" s="3">
        <v>6.19</v>
      </c>
      <c r="E65" s="3">
        <v>45</v>
      </c>
      <c r="G65">
        <f t="shared" si="9"/>
        <v>6.7599999999999989</v>
      </c>
      <c r="H65" s="7">
        <f t="shared" si="10"/>
        <v>0.1502222222222222</v>
      </c>
      <c r="J65">
        <f t="shared" si="11"/>
        <v>67</v>
      </c>
      <c r="K65" s="8"/>
      <c r="L65" s="8">
        <f t="shared" si="12"/>
        <v>67</v>
      </c>
      <c r="M65">
        <f t="shared" si="13"/>
        <v>16.909999999999997</v>
      </c>
      <c r="N65" s="7">
        <f t="shared" si="14"/>
        <v>0.25238805970149247</v>
      </c>
      <c r="P65">
        <f t="shared" si="15"/>
        <v>48</v>
      </c>
      <c r="Q65">
        <f t="shared" si="16"/>
        <v>51</v>
      </c>
      <c r="R65">
        <f t="shared" si="17"/>
        <v>54</v>
      </c>
      <c r="Z65">
        <f>VLOOKUP(C65,[1]Sheet1!$B$2:$C$1355,2,0)</f>
        <v>48</v>
      </c>
    </row>
    <row r="66" spans="1:26" x14ac:dyDescent="0.35">
      <c r="A66" s="2">
        <v>65</v>
      </c>
      <c r="B66" s="2" t="s">
        <v>38</v>
      </c>
      <c r="C66" s="2" t="s">
        <v>75</v>
      </c>
      <c r="D66" s="3">
        <v>6.39</v>
      </c>
      <c r="E66" s="3">
        <v>44</v>
      </c>
      <c r="G66">
        <f t="shared" ref="G66:G97" si="18">IFERROR(((E66-MIN(E66/2,30)-4)*0.7)-$D66,0)</f>
        <v>6.21</v>
      </c>
      <c r="H66" s="7">
        <f t="shared" ref="H66:H97" si="19">G66/E66</f>
        <v>0.14113636363636364</v>
      </c>
      <c r="J66">
        <f t="shared" ref="J66:J91" si="20">ROUND(IF(D66&lt;=3.2,28+10*(D66),(23.8+D66)/0.45),0)</f>
        <v>67</v>
      </c>
      <c r="K66" s="8"/>
      <c r="L66" s="8">
        <f t="shared" ref="L66:L97" si="21">MAX(J66,E66)</f>
        <v>67</v>
      </c>
      <c r="M66">
        <f t="shared" ref="M66:M97" si="22">((L66-(MIN(L66/2,30))-4)*0.7)-D66</f>
        <v>16.709999999999997</v>
      </c>
      <c r="N66" s="7">
        <f t="shared" ref="N66:N97" si="23">M66/L66</f>
        <v>0.24940298507462683</v>
      </c>
      <c r="P66">
        <f t="shared" ref="P66:P97" si="24">IF(L66&gt;E66,IF(E66+3&lt;=L66,E66+3,L66),E66)</f>
        <v>47</v>
      </c>
      <c r="Q66">
        <f t="shared" ref="Q66:Q97" si="25">IF(P66&lt;$L66,IF(P66+3&lt;=L66,P66+3,L66),P66)</f>
        <v>50</v>
      </c>
      <c r="R66">
        <f t="shared" ref="R66:R97" si="26">IF(Q66&lt;$L66,Q66+3,IF(Q66&gt;=L66,L66,Q66+3))</f>
        <v>53</v>
      </c>
      <c r="Z66">
        <f>VLOOKUP(C66,[1]Sheet1!$B$2:$C$1355,2,0)</f>
        <v>48</v>
      </c>
    </row>
    <row r="67" spans="1:26" x14ac:dyDescent="0.35">
      <c r="A67" s="2">
        <v>66</v>
      </c>
      <c r="B67" s="2" t="s">
        <v>38</v>
      </c>
      <c r="C67" s="2" t="s">
        <v>76</v>
      </c>
      <c r="D67" s="3">
        <v>6.73</v>
      </c>
      <c r="E67" s="3">
        <v>45</v>
      </c>
      <c r="G67">
        <f t="shared" si="18"/>
        <v>6.2199999999999989</v>
      </c>
      <c r="H67" s="7">
        <f t="shared" si="19"/>
        <v>0.13822222222222219</v>
      </c>
      <c r="J67">
        <f t="shared" si="20"/>
        <v>68</v>
      </c>
      <c r="K67" s="8"/>
      <c r="L67" s="8">
        <f t="shared" si="21"/>
        <v>68</v>
      </c>
      <c r="M67">
        <f t="shared" si="22"/>
        <v>17.069999999999997</v>
      </c>
      <c r="N67" s="7">
        <f t="shared" si="23"/>
        <v>0.25102941176470583</v>
      </c>
      <c r="P67">
        <f t="shared" si="24"/>
        <v>48</v>
      </c>
      <c r="Q67">
        <f t="shared" si="25"/>
        <v>51</v>
      </c>
      <c r="R67">
        <f t="shared" si="26"/>
        <v>54</v>
      </c>
      <c r="Z67">
        <f>VLOOKUP(C67,[1]Sheet1!$B$2:$C$1355,2,0)</f>
        <v>48</v>
      </c>
    </row>
    <row r="68" spans="1:26" x14ac:dyDescent="0.35">
      <c r="A68" s="2">
        <v>67</v>
      </c>
      <c r="B68" s="2" t="s">
        <v>77</v>
      </c>
      <c r="C68" s="2" t="s">
        <v>78</v>
      </c>
      <c r="D68" s="3">
        <v>7.21</v>
      </c>
      <c r="E68" s="3">
        <v>57</v>
      </c>
      <c r="G68">
        <f t="shared" si="18"/>
        <v>9.9399999999999977</v>
      </c>
      <c r="H68" s="7">
        <f t="shared" si="19"/>
        <v>0.17438596491228067</v>
      </c>
      <c r="J68">
        <f t="shared" si="20"/>
        <v>69</v>
      </c>
      <c r="K68" s="8"/>
      <c r="L68" s="8">
        <f t="shared" si="21"/>
        <v>69</v>
      </c>
      <c r="M68">
        <f t="shared" si="22"/>
        <v>17.29</v>
      </c>
      <c r="N68" s="7">
        <f t="shared" si="23"/>
        <v>0.25057971014492753</v>
      </c>
      <c r="P68">
        <f t="shared" si="24"/>
        <v>60</v>
      </c>
      <c r="Q68">
        <f t="shared" si="25"/>
        <v>63</v>
      </c>
      <c r="R68">
        <f t="shared" si="26"/>
        <v>66</v>
      </c>
      <c r="Z68">
        <f>VLOOKUP(C68,[1]Sheet1!$B$2:$C$1355,2,0)</f>
        <v>64</v>
      </c>
    </row>
    <row r="69" spans="1:26" x14ac:dyDescent="0.35">
      <c r="A69" s="2">
        <v>68</v>
      </c>
      <c r="B69" s="2" t="s">
        <v>77</v>
      </c>
      <c r="C69" s="2" t="s">
        <v>79</v>
      </c>
      <c r="D69" s="3">
        <v>7.94</v>
      </c>
      <c r="E69" s="3">
        <v>64</v>
      </c>
      <c r="G69">
        <f t="shared" si="18"/>
        <v>13.059999999999999</v>
      </c>
      <c r="H69" s="7">
        <f t="shared" si="19"/>
        <v>0.20406249999999998</v>
      </c>
      <c r="J69">
        <f t="shared" si="20"/>
        <v>71</v>
      </c>
      <c r="K69" s="8"/>
      <c r="L69" s="8">
        <f t="shared" si="21"/>
        <v>71</v>
      </c>
      <c r="M69">
        <f t="shared" si="22"/>
        <v>17.959999999999997</v>
      </c>
      <c r="N69" s="7">
        <f t="shared" si="23"/>
        <v>0.2529577464788732</v>
      </c>
      <c r="P69">
        <f t="shared" si="24"/>
        <v>67</v>
      </c>
      <c r="Q69">
        <f t="shared" si="25"/>
        <v>70</v>
      </c>
      <c r="R69">
        <f t="shared" si="26"/>
        <v>73</v>
      </c>
      <c r="Z69">
        <f>VLOOKUP(C69,[1]Sheet1!$B$2:$C$1355,2,0)</f>
        <v>62</v>
      </c>
    </row>
    <row r="70" spans="1:26" x14ac:dyDescent="0.35">
      <c r="A70" s="2">
        <v>69</v>
      </c>
      <c r="B70" s="2" t="s">
        <v>77</v>
      </c>
      <c r="C70" s="2" t="s">
        <v>80</v>
      </c>
      <c r="D70" s="3">
        <v>8.15</v>
      </c>
      <c r="E70" s="3">
        <v>64</v>
      </c>
      <c r="G70">
        <f t="shared" si="18"/>
        <v>12.85</v>
      </c>
      <c r="H70">
        <f t="shared" si="19"/>
        <v>0.20078124999999999</v>
      </c>
      <c r="J70">
        <f t="shared" si="20"/>
        <v>71</v>
      </c>
      <c r="L70">
        <f t="shared" si="21"/>
        <v>71</v>
      </c>
      <c r="M70">
        <f t="shared" si="22"/>
        <v>17.75</v>
      </c>
      <c r="N70">
        <f t="shared" si="23"/>
        <v>0.25</v>
      </c>
      <c r="P70">
        <f t="shared" si="24"/>
        <v>67</v>
      </c>
      <c r="Q70">
        <f t="shared" si="25"/>
        <v>70</v>
      </c>
      <c r="R70">
        <f t="shared" si="26"/>
        <v>73</v>
      </c>
      <c r="Z70">
        <f>VLOOKUP(C70,[1]Sheet1!$B$2:$C$1355,2,0)</f>
        <v>62</v>
      </c>
    </row>
    <row r="71" spans="1:26" x14ac:dyDescent="0.35">
      <c r="A71" s="2">
        <v>70</v>
      </c>
      <c r="B71" s="2" t="s">
        <v>77</v>
      </c>
      <c r="C71" s="2" t="s">
        <v>81</v>
      </c>
      <c r="D71" s="3">
        <v>8.23</v>
      </c>
      <c r="E71" s="3">
        <v>64</v>
      </c>
      <c r="G71">
        <f t="shared" si="18"/>
        <v>12.77</v>
      </c>
      <c r="H71">
        <f t="shared" si="19"/>
        <v>0.19953124999999999</v>
      </c>
      <c r="J71">
        <f t="shared" si="20"/>
        <v>71</v>
      </c>
      <c r="L71">
        <f t="shared" si="21"/>
        <v>71</v>
      </c>
      <c r="M71">
        <f t="shared" si="22"/>
        <v>17.669999999999998</v>
      </c>
      <c r="N71">
        <f t="shared" si="23"/>
        <v>0.24887323943661968</v>
      </c>
      <c r="P71">
        <f t="shared" si="24"/>
        <v>67</v>
      </c>
      <c r="Q71">
        <f t="shared" si="25"/>
        <v>70</v>
      </c>
      <c r="R71">
        <f t="shared" si="26"/>
        <v>73</v>
      </c>
      <c r="Z71">
        <f>VLOOKUP(C71,[1]Sheet1!$B$2:$C$1355,2,0)</f>
        <v>62</v>
      </c>
    </row>
    <row r="72" spans="1:26" x14ac:dyDescent="0.35">
      <c r="A72" s="2">
        <v>71</v>
      </c>
      <c r="B72" s="2" t="s">
        <v>77</v>
      </c>
      <c r="C72" s="2" t="s">
        <v>82</v>
      </c>
      <c r="D72" s="3">
        <v>7.65</v>
      </c>
      <c r="E72" s="3">
        <v>64</v>
      </c>
      <c r="G72">
        <f t="shared" si="18"/>
        <v>13.35</v>
      </c>
      <c r="H72">
        <f t="shared" si="19"/>
        <v>0.20859374999999999</v>
      </c>
      <c r="J72">
        <f t="shared" si="20"/>
        <v>70</v>
      </c>
      <c r="L72">
        <f t="shared" si="21"/>
        <v>70</v>
      </c>
      <c r="M72">
        <f t="shared" si="22"/>
        <v>17.549999999999997</v>
      </c>
      <c r="N72">
        <f t="shared" si="23"/>
        <v>0.25071428571428567</v>
      </c>
      <c r="P72">
        <f t="shared" si="24"/>
        <v>67</v>
      </c>
      <c r="Q72">
        <f t="shared" si="25"/>
        <v>70</v>
      </c>
      <c r="R72">
        <f t="shared" si="26"/>
        <v>70</v>
      </c>
      <c r="Z72">
        <f>VLOOKUP(C72,[1]Sheet1!$B$2:$C$1355,2,0)</f>
        <v>63</v>
      </c>
    </row>
    <row r="73" spans="1:26" x14ac:dyDescent="0.35">
      <c r="A73" s="2">
        <v>72</v>
      </c>
      <c r="B73" s="2" t="s">
        <v>77</v>
      </c>
      <c r="C73" s="2" t="s">
        <v>83</v>
      </c>
      <c r="D73" s="3">
        <v>8.73</v>
      </c>
      <c r="E73" s="3">
        <v>66</v>
      </c>
      <c r="G73">
        <f t="shared" si="18"/>
        <v>13.669999999999998</v>
      </c>
      <c r="H73">
        <f t="shared" si="19"/>
        <v>0.20712121212121209</v>
      </c>
      <c r="J73">
        <f t="shared" si="20"/>
        <v>72</v>
      </c>
      <c r="L73">
        <f t="shared" si="21"/>
        <v>72</v>
      </c>
      <c r="M73">
        <f t="shared" si="22"/>
        <v>17.869999999999997</v>
      </c>
      <c r="N73">
        <f t="shared" si="23"/>
        <v>0.24819444444444441</v>
      </c>
      <c r="P73">
        <f t="shared" si="24"/>
        <v>69</v>
      </c>
      <c r="Q73">
        <f t="shared" si="25"/>
        <v>72</v>
      </c>
      <c r="R73">
        <f t="shared" si="26"/>
        <v>72</v>
      </c>
      <c r="Z73">
        <f>VLOOKUP(C73,[1]Sheet1!$B$2:$C$1355,2,0)</f>
        <v>62</v>
      </c>
    </row>
    <row r="74" spans="1:26" x14ac:dyDescent="0.35">
      <c r="A74" s="2">
        <v>73</v>
      </c>
      <c r="B74" s="2" t="s">
        <v>77</v>
      </c>
      <c r="C74" s="2" t="s">
        <v>84</v>
      </c>
      <c r="D74" s="3">
        <v>8.3699999999999992</v>
      </c>
      <c r="E74" s="3">
        <v>66</v>
      </c>
      <c r="G74">
        <f t="shared" si="18"/>
        <v>14.03</v>
      </c>
      <c r="H74">
        <f t="shared" si="19"/>
        <v>0.21257575757575756</v>
      </c>
      <c r="J74">
        <f t="shared" si="20"/>
        <v>71</v>
      </c>
      <c r="L74">
        <f t="shared" si="21"/>
        <v>71</v>
      </c>
      <c r="M74">
        <f t="shared" si="22"/>
        <v>17.53</v>
      </c>
      <c r="N74">
        <f t="shared" si="23"/>
        <v>0.24690140845070424</v>
      </c>
      <c r="P74">
        <f t="shared" si="24"/>
        <v>69</v>
      </c>
      <c r="Q74">
        <f t="shared" si="25"/>
        <v>71</v>
      </c>
      <c r="R74">
        <f t="shared" si="26"/>
        <v>71</v>
      </c>
      <c r="Z74">
        <f>VLOOKUP(C74,[1]Sheet1!$B$2:$C$1355,2,0)</f>
        <v>62</v>
      </c>
    </row>
    <row r="75" spans="1:26" x14ac:dyDescent="0.35">
      <c r="A75" s="2">
        <v>74</v>
      </c>
      <c r="B75" s="2" t="s">
        <v>77</v>
      </c>
      <c r="C75" s="2" t="s">
        <v>85</v>
      </c>
      <c r="D75" s="3">
        <v>8.02</v>
      </c>
      <c r="E75" s="3">
        <v>64</v>
      </c>
      <c r="G75">
        <f t="shared" si="18"/>
        <v>12.98</v>
      </c>
      <c r="H75">
        <f t="shared" si="19"/>
        <v>0.20281250000000001</v>
      </c>
      <c r="J75">
        <f t="shared" si="20"/>
        <v>71</v>
      </c>
      <c r="L75">
        <f t="shared" si="21"/>
        <v>71</v>
      </c>
      <c r="M75">
        <f t="shared" si="22"/>
        <v>17.88</v>
      </c>
      <c r="N75">
        <f t="shared" si="23"/>
        <v>0.25183098591549297</v>
      </c>
      <c r="P75">
        <f t="shared" si="24"/>
        <v>67</v>
      </c>
      <c r="Q75">
        <f t="shared" si="25"/>
        <v>70</v>
      </c>
      <c r="R75">
        <f t="shared" si="26"/>
        <v>73</v>
      </c>
      <c r="Z75">
        <f>VLOOKUP(C75,[1]Sheet1!$B$2:$C$1355,2,0)</f>
        <v>61</v>
      </c>
    </row>
    <row r="76" spans="1:26" x14ac:dyDescent="0.35">
      <c r="A76" s="2">
        <v>75</v>
      </c>
      <c r="B76" s="2" t="s">
        <v>77</v>
      </c>
      <c r="C76" s="2" t="s">
        <v>86</v>
      </c>
      <c r="D76" s="3">
        <v>8.09</v>
      </c>
      <c r="E76" s="3">
        <v>65</v>
      </c>
      <c r="G76">
        <f t="shared" si="18"/>
        <v>13.61</v>
      </c>
      <c r="H76">
        <f t="shared" si="19"/>
        <v>0.20938461538461536</v>
      </c>
      <c r="J76">
        <f t="shared" si="20"/>
        <v>71</v>
      </c>
      <c r="L76">
        <f t="shared" si="21"/>
        <v>71</v>
      </c>
      <c r="M76">
        <f t="shared" si="22"/>
        <v>17.809999999999999</v>
      </c>
      <c r="N76">
        <f t="shared" si="23"/>
        <v>0.25084507042253518</v>
      </c>
      <c r="P76">
        <f t="shared" si="24"/>
        <v>68</v>
      </c>
      <c r="Q76">
        <f t="shared" si="25"/>
        <v>71</v>
      </c>
      <c r="R76">
        <f t="shared" si="26"/>
        <v>71</v>
      </c>
      <c r="Z76">
        <f>VLOOKUP(C76,[1]Sheet1!$B$2:$C$1355,2,0)</f>
        <v>61</v>
      </c>
    </row>
    <row r="77" spans="1:26" x14ac:dyDescent="0.35">
      <c r="A77" s="2">
        <v>76</v>
      </c>
      <c r="B77" s="2" t="s">
        <v>77</v>
      </c>
      <c r="C77" s="2" t="s">
        <v>87</v>
      </c>
      <c r="D77" s="3">
        <v>8.1199999999999992</v>
      </c>
      <c r="E77" s="3">
        <v>59</v>
      </c>
      <c r="G77">
        <f t="shared" si="18"/>
        <v>9.7299999999999986</v>
      </c>
      <c r="H77">
        <f t="shared" si="19"/>
        <v>0.16491525423728812</v>
      </c>
      <c r="J77">
        <f t="shared" si="20"/>
        <v>71</v>
      </c>
      <c r="L77">
        <f t="shared" si="21"/>
        <v>71</v>
      </c>
      <c r="M77">
        <f t="shared" si="22"/>
        <v>17.78</v>
      </c>
      <c r="N77">
        <f t="shared" si="23"/>
        <v>0.25042253521126762</v>
      </c>
      <c r="P77">
        <f t="shared" si="24"/>
        <v>62</v>
      </c>
      <c r="Q77">
        <f t="shared" si="25"/>
        <v>65</v>
      </c>
      <c r="R77">
        <f t="shared" si="26"/>
        <v>68</v>
      </c>
      <c r="Z77">
        <f>VLOOKUP(C77,[1]Sheet1!$B$2:$C$1355,2,0)</f>
        <v>49</v>
      </c>
    </row>
    <row r="78" spans="1:26" x14ac:dyDescent="0.35">
      <c r="A78" s="2">
        <v>77</v>
      </c>
      <c r="B78" s="2" t="s">
        <v>77</v>
      </c>
      <c r="C78" s="2" t="s">
        <v>88</v>
      </c>
      <c r="D78" s="3">
        <v>8.5</v>
      </c>
      <c r="E78" s="3">
        <v>66</v>
      </c>
      <c r="G78">
        <f t="shared" si="18"/>
        <v>13.899999999999999</v>
      </c>
      <c r="H78">
        <f t="shared" si="19"/>
        <v>0.21060606060606057</v>
      </c>
      <c r="J78">
        <f t="shared" si="20"/>
        <v>72</v>
      </c>
      <c r="L78">
        <f t="shared" si="21"/>
        <v>72</v>
      </c>
      <c r="M78">
        <f t="shared" si="22"/>
        <v>18.099999999999998</v>
      </c>
      <c r="N78">
        <f t="shared" si="23"/>
        <v>0.25138888888888888</v>
      </c>
      <c r="P78">
        <f t="shared" si="24"/>
        <v>69</v>
      </c>
      <c r="Q78">
        <f t="shared" si="25"/>
        <v>72</v>
      </c>
      <c r="R78">
        <f t="shared" si="26"/>
        <v>72</v>
      </c>
      <c r="Z78">
        <f>VLOOKUP(C78,[1]Sheet1!$B$2:$C$1355,2,0)</f>
        <v>54</v>
      </c>
    </row>
    <row r="79" spans="1:26" x14ac:dyDescent="0.35">
      <c r="A79" s="2">
        <v>78</v>
      </c>
      <c r="B79" s="2" t="s">
        <v>77</v>
      </c>
      <c r="C79" s="2" t="s">
        <v>89</v>
      </c>
      <c r="D79" s="3">
        <v>9.0399999999999991</v>
      </c>
      <c r="E79" s="3">
        <v>66</v>
      </c>
      <c r="G79">
        <f t="shared" si="18"/>
        <v>13.36</v>
      </c>
      <c r="H79">
        <f t="shared" si="19"/>
        <v>0.20242424242424242</v>
      </c>
      <c r="J79">
        <f t="shared" si="20"/>
        <v>73</v>
      </c>
      <c r="L79">
        <f t="shared" si="21"/>
        <v>73</v>
      </c>
      <c r="M79">
        <f t="shared" si="22"/>
        <v>18.259999999999998</v>
      </c>
      <c r="N79">
        <f t="shared" si="23"/>
        <v>0.25013698630136982</v>
      </c>
      <c r="P79">
        <f t="shared" si="24"/>
        <v>69</v>
      </c>
      <c r="Q79">
        <f t="shared" si="25"/>
        <v>72</v>
      </c>
      <c r="R79">
        <f t="shared" si="26"/>
        <v>75</v>
      </c>
      <c r="Z79">
        <f>VLOOKUP(C79,[1]Sheet1!$B$2:$C$1355,2,0)</f>
        <v>52</v>
      </c>
    </row>
    <row r="80" spans="1:26" x14ac:dyDescent="0.35">
      <c r="A80" s="2">
        <v>79</v>
      </c>
      <c r="B80" s="2" t="s">
        <v>77</v>
      </c>
      <c r="C80" s="2" t="s">
        <v>90</v>
      </c>
      <c r="D80" s="3">
        <v>9.11</v>
      </c>
      <c r="E80" s="3">
        <v>66</v>
      </c>
      <c r="G80">
        <f t="shared" si="18"/>
        <v>13.29</v>
      </c>
      <c r="H80">
        <f t="shared" si="19"/>
        <v>0.20136363636363636</v>
      </c>
      <c r="J80">
        <f t="shared" si="20"/>
        <v>73</v>
      </c>
      <c r="L80">
        <f t="shared" si="21"/>
        <v>73</v>
      </c>
      <c r="M80">
        <f t="shared" si="22"/>
        <v>18.189999999999998</v>
      </c>
      <c r="N80">
        <f t="shared" si="23"/>
        <v>0.24917808219178078</v>
      </c>
      <c r="P80">
        <f t="shared" si="24"/>
        <v>69</v>
      </c>
      <c r="Q80">
        <f t="shared" si="25"/>
        <v>72</v>
      </c>
      <c r="R80">
        <f t="shared" si="26"/>
        <v>75</v>
      </c>
      <c r="Z80">
        <f>VLOOKUP(C80,[1]Sheet1!$B$2:$C$1355,2,0)</f>
        <v>52</v>
      </c>
    </row>
    <row r="81" spans="1:26" x14ac:dyDescent="0.35">
      <c r="A81" s="2">
        <v>80</v>
      </c>
      <c r="B81" s="2" t="s">
        <v>77</v>
      </c>
      <c r="C81" s="2" t="s">
        <v>91</v>
      </c>
      <c r="D81" s="3">
        <v>8.56</v>
      </c>
      <c r="E81" s="3">
        <v>66</v>
      </c>
      <c r="G81">
        <f t="shared" si="18"/>
        <v>13.839999999999998</v>
      </c>
      <c r="H81">
        <f t="shared" si="19"/>
        <v>0.20969696969696966</v>
      </c>
      <c r="J81">
        <f t="shared" si="20"/>
        <v>72</v>
      </c>
      <c r="L81">
        <f t="shared" si="21"/>
        <v>72</v>
      </c>
      <c r="M81">
        <f t="shared" si="22"/>
        <v>18.04</v>
      </c>
      <c r="N81">
        <f t="shared" si="23"/>
        <v>0.25055555555555553</v>
      </c>
      <c r="P81">
        <f t="shared" si="24"/>
        <v>69</v>
      </c>
      <c r="Q81">
        <f t="shared" si="25"/>
        <v>72</v>
      </c>
      <c r="R81">
        <f t="shared" si="26"/>
        <v>72</v>
      </c>
      <c r="Z81">
        <f>VLOOKUP(C81,[1]Sheet1!$B$2:$C$1355,2,0)</f>
        <v>52</v>
      </c>
    </row>
    <row r="82" spans="1:26" x14ac:dyDescent="0.35">
      <c r="A82" s="2">
        <v>81</v>
      </c>
      <c r="B82" s="2" t="s">
        <v>77</v>
      </c>
      <c r="C82" s="2" t="s">
        <v>92</v>
      </c>
      <c r="D82" s="3">
        <v>9.6199999999999992</v>
      </c>
      <c r="E82" s="3">
        <v>68</v>
      </c>
      <c r="G82">
        <f t="shared" si="18"/>
        <v>14.179999999999998</v>
      </c>
      <c r="H82">
        <f t="shared" si="19"/>
        <v>0.20852941176470585</v>
      </c>
      <c r="J82">
        <f t="shared" si="20"/>
        <v>74</v>
      </c>
      <c r="L82">
        <f t="shared" si="21"/>
        <v>74</v>
      </c>
      <c r="M82">
        <f t="shared" si="22"/>
        <v>18.380000000000003</v>
      </c>
      <c r="N82">
        <f t="shared" si="23"/>
        <v>0.24837837837837842</v>
      </c>
      <c r="P82">
        <f t="shared" si="24"/>
        <v>71</v>
      </c>
      <c r="Q82">
        <f t="shared" si="25"/>
        <v>74</v>
      </c>
      <c r="R82">
        <f t="shared" si="26"/>
        <v>74</v>
      </c>
      <c r="Z82">
        <f>VLOOKUP(C82,[1]Sheet1!$B$2:$C$1355,2,0)</f>
        <v>52</v>
      </c>
    </row>
    <row r="83" spans="1:26" x14ac:dyDescent="0.35">
      <c r="A83" s="2">
        <v>82</v>
      </c>
      <c r="B83" s="2" t="s">
        <v>77</v>
      </c>
      <c r="C83" s="2" t="s">
        <v>93</v>
      </c>
      <c r="D83" s="3">
        <v>9.09</v>
      </c>
      <c r="E83" s="3">
        <v>68</v>
      </c>
      <c r="G83">
        <f t="shared" si="18"/>
        <v>14.709999999999997</v>
      </c>
      <c r="H83">
        <f t="shared" si="19"/>
        <v>0.21632352941176466</v>
      </c>
      <c r="J83">
        <f t="shared" si="20"/>
        <v>73</v>
      </c>
      <c r="L83">
        <f t="shared" si="21"/>
        <v>73</v>
      </c>
      <c r="M83">
        <f t="shared" si="22"/>
        <v>18.209999999999997</v>
      </c>
      <c r="N83">
        <f t="shared" si="23"/>
        <v>0.24945205479452051</v>
      </c>
      <c r="P83">
        <f t="shared" si="24"/>
        <v>71</v>
      </c>
      <c r="Q83">
        <f t="shared" si="25"/>
        <v>73</v>
      </c>
      <c r="R83">
        <f t="shared" si="26"/>
        <v>73</v>
      </c>
      <c r="Z83">
        <f>VLOOKUP(C83,[1]Sheet1!$B$2:$C$1355,2,0)</f>
        <v>52</v>
      </c>
    </row>
    <row r="84" spans="1:26" x14ac:dyDescent="0.35">
      <c r="A84" s="2">
        <v>83</v>
      </c>
      <c r="B84" s="2" t="s">
        <v>77</v>
      </c>
      <c r="C84" s="2" t="s">
        <v>94</v>
      </c>
      <c r="D84" s="3">
        <v>8.9</v>
      </c>
      <c r="E84" s="3">
        <v>66</v>
      </c>
      <c r="G84">
        <f t="shared" si="18"/>
        <v>13.499999999999998</v>
      </c>
      <c r="H84">
        <f t="shared" si="19"/>
        <v>0.20454545454545453</v>
      </c>
      <c r="J84">
        <f t="shared" si="20"/>
        <v>73</v>
      </c>
      <c r="L84">
        <f t="shared" si="21"/>
        <v>73</v>
      </c>
      <c r="M84">
        <f t="shared" si="22"/>
        <v>18.399999999999999</v>
      </c>
      <c r="N84">
        <f t="shared" si="23"/>
        <v>0.25205479452054791</v>
      </c>
      <c r="P84">
        <f t="shared" si="24"/>
        <v>69</v>
      </c>
      <c r="Q84">
        <f t="shared" si="25"/>
        <v>72</v>
      </c>
      <c r="R84">
        <f t="shared" si="26"/>
        <v>75</v>
      </c>
      <c r="Z84">
        <f>VLOOKUP(C84,[1]Sheet1!$B$2:$C$1355,2,0)</f>
        <v>51</v>
      </c>
    </row>
    <row r="85" spans="1:26" x14ac:dyDescent="0.35">
      <c r="A85" s="2">
        <v>84</v>
      </c>
      <c r="B85" s="2" t="s">
        <v>77</v>
      </c>
      <c r="C85" s="2" t="s">
        <v>95</v>
      </c>
      <c r="D85" s="3">
        <v>9</v>
      </c>
      <c r="E85" s="3">
        <v>67</v>
      </c>
      <c r="G85">
        <f t="shared" si="18"/>
        <v>14.099999999999998</v>
      </c>
      <c r="H85">
        <f t="shared" si="19"/>
        <v>0.21044776119402983</v>
      </c>
      <c r="J85">
        <f t="shared" si="20"/>
        <v>73</v>
      </c>
      <c r="L85">
        <f t="shared" si="21"/>
        <v>73</v>
      </c>
      <c r="M85">
        <f t="shared" si="22"/>
        <v>18.299999999999997</v>
      </c>
      <c r="N85">
        <f t="shared" si="23"/>
        <v>0.25068493150684928</v>
      </c>
      <c r="P85">
        <f t="shared" si="24"/>
        <v>70</v>
      </c>
      <c r="Q85">
        <f t="shared" si="25"/>
        <v>73</v>
      </c>
      <c r="R85">
        <f t="shared" si="26"/>
        <v>73</v>
      </c>
      <c r="Z85">
        <f>VLOOKUP(C85,[1]Sheet1!$B$2:$C$1355,2,0)</f>
        <v>51</v>
      </c>
    </row>
    <row r="86" spans="1:26" x14ac:dyDescent="0.35">
      <c r="A86" s="2">
        <v>85</v>
      </c>
      <c r="B86" s="2" t="s">
        <v>77</v>
      </c>
      <c r="C86" s="2" t="s">
        <v>96</v>
      </c>
      <c r="D86" s="3">
        <v>7.3</v>
      </c>
      <c r="E86" s="3">
        <v>55</v>
      </c>
      <c r="G86">
        <f t="shared" si="18"/>
        <v>9.1499999999999986</v>
      </c>
      <c r="H86">
        <f t="shared" si="19"/>
        <v>0.16636363636363632</v>
      </c>
      <c r="J86">
        <f t="shared" si="20"/>
        <v>69</v>
      </c>
      <c r="L86">
        <f t="shared" si="21"/>
        <v>69</v>
      </c>
      <c r="M86">
        <f t="shared" si="22"/>
        <v>17.2</v>
      </c>
      <c r="N86">
        <f t="shared" si="23"/>
        <v>0.24927536231884057</v>
      </c>
      <c r="P86">
        <f t="shared" si="24"/>
        <v>58</v>
      </c>
      <c r="Q86">
        <f t="shared" si="25"/>
        <v>61</v>
      </c>
      <c r="R86">
        <f t="shared" si="26"/>
        <v>64</v>
      </c>
      <c r="Z86">
        <f>VLOOKUP(C86,[1]Sheet1!$B$2:$C$1355,2,0)</f>
        <v>62</v>
      </c>
    </row>
    <row r="87" spans="1:26" x14ac:dyDescent="0.35">
      <c r="A87" s="2">
        <v>86</v>
      </c>
      <c r="B87" s="2" t="s">
        <v>77</v>
      </c>
      <c r="C87" s="2" t="s">
        <v>97</v>
      </c>
      <c r="D87" s="3">
        <v>7.55</v>
      </c>
      <c r="E87" s="3">
        <v>55</v>
      </c>
      <c r="G87">
        <f t="shared" si="18"/>
        <v>8.8999999999999986</v>
      </c>
      <c r="H87">
        <f t="shared" si="19"/>
        <v>0.16181818181818181</v>
      </c>
      <c r="J87">
        <f t="shared" si="20"/>
        <v>70</v>
      </c>
      <c r="L87">
        <f t="shared" si="21"/>
        <v>70</v>
      </c>
      <c r="M87">
        <f t="shared" si="22"/>
        <v>17.649999999999999</v>
      </c>
      <c r="N87">
        <f t="shared" si="23"/>
        <v>0.25214285714285711</v>
      </c>
      <c r="P87">
        <f t="shared" si="24"/>
        <v>58</v>
      </c>
      <c r="Q87">
        <f t="shared" si="25"/>
        <v>61</v>
      </c>
      <c r="R87">
        <f t="shared" si="26"/>
        <v>64</v>
      </c>
      <c r="Z87">
        <f>VLOOKUP(C87,[1]Sheet1!$B$2:$C$1355,2,0)</f>
        <v>55</v>
      </c>
    </row>
    <row r="88" spans="1:26" x14ac:dyDescent="0.35">
      <c r="A88" s="2">
        <v>87</v>
      </c>
      <c r="B88" s="2" t="s">
        <v>77</v>
      </c>
      <c r="C88" s="2" t="s">
        <v>98</v>
      </c>
      <c r="D88" s="3">
        <v>7.3</v>
      </c>
      <c r="E88" s="3">
        <v>59</v>
      </c>
      <c r="G88">
        <f t="shared" si="18"/>
        <v>10.549999999999997</v>
      </c>
      <c r="H88">
        <f t="shared" si="19"/>
        <v>0.17881355932203385</v>
      </c>
      <c r="J88">
        <f t="shared" si="20"/>
        <v>69</v>
      </c>
      <c r="L88">
        <f t="shared" si="21"/>
        <v>69</v>
      </c>
      <c r="M88">
        <f t="shared" si="22"/>
        <v>17.2</v>
      </c>
      <c r="N88">
        <f t="shared" si="23"/>
        <v>0.24927536231884057</v>
      </c>
      <c r="P88">
        <f t="shared" si="24"/>
        <v>62</v>
      </c>
      <c r="Q88">
        <f t="shared" si="25"/>
        <v>65</v>
      </c>
      <c r="R88">
        <f t="shared" si="26"/>
        <v>68</v>
      </c>
      <c r="Z88">
        <f>VLOOKUP(C88,[1]Sheet1!$B$2:$C$1355,2,0)</f>
        <v>57</v>
      </c>
    </row>
    <row r="89" spans="1:26" x14ac:dyDescent="0.35">
      <c r="A89" s="2">
        <v>88</v>
      </c>
      <c r="B89" s="2" t="s">
        <v>77</v>
      </c>
      <c r="C89" s="2" t="s">
        <v>99</v>
      </c>
      <c r="D89" s="3">
        <v>7.46</v>
      </c>
      <c r="E89" s="3">
        <v>59</v>
      </c>
      <c r="G89">
        <f t="shared" si="18"/>
        <v>10.389999999999997</v>
      </c>
      <c r="H89">
        <f t="shared" si="19"/>
        <v>0.17610169491525418</v>
      </c>
      <c r="J89">
        <f t="shared" si="20"/>
        <v>69</v>
      </c>
      <c r="L89">
        <f t="shared" si="21"/>
        <v>69</v>
      </c>
      <c r="M89">
        <f t="shared" si="22"/>
        <v>17.04</v>
      </c>
      <c r="N89">
        <f t="shared" si="23"/>
        <v>0.24695652173913044</v>
      </c>
      <c r="P89">
        <f t="shared" si="24"/>
        <v>62</v>
      </c>
      <c r="Q89">
        <f t="shared" si="25"/>
        <v>65</v>
      </c>
      <c r="R89">
        <f t="shared" si="26"/>
        <v>68</v>
      </c>
      <c r="Z89">
        <f>VLOOKUP(C89,[1]Sheet1!$B$2:$C$1355,2,0)</f>
        <v>57</v>
      </c>
    </row>
    <row r="90" spans="1:26" x14ac:dyDescent="0.35">
      <c r="A90" s="2">
        <v>89</v>
      </c>
      <c r="B90" s="2" t="s">
        <v>77</v>
      </c>
      <c r="C90" s="2" t="s">
        <v>100</v>
      </c>
      <c r="D90" s="3">
        <v>8.06</v>
      </c>
      <c r="E90" s="3">
        <v>58</v>
      </c>
      <c r="G90">
        <f t="shared" si="18"/>
        <v>9.44</v>
      </c>
      <c r="H90">
        <f t="shared" si="19"/>
        <v>0.16275862068965516</v>
      </c>
      <c r="J90">
        <f t="shared" si="20"/>
        <v>71</v>
      </c>
      <c r="L90">
        <f t="shared" si="21"/>
        <v>71</v>
      </c>
      <c r="M90">
        <f t="shared" si="22"/>
        <v>17.839999999999996</v>
      </c>
      <c r="N90">
        <f t="shared" si="23"/>
        <v>0.25126760563380274</v>
      </c>
      <c r="P90">
        <f t="shared" si="24"/>
        <v>61</v>
      </c>
      <c r="Q90">
        <f t="shared" si="25"/>
        <v>64</v>
      </c>
      <c r="R90">
        <f t="shared" si="26"/>
        <v>67</v>
      </c>
      <c r="Z90">
        <f>VLOOKUP(C90,[1]Sheet1!$B$2:$C$1355,2,0)</f>
        <v>56</v>
      </c>
    </row>
    <row r="91" spans="1:26" x14ac:dyDescent="0.35">
      <c r="A91" s="2">
        <v>90</v>
      </c>
      <c r="B91" s="2" t="s">
        <v>77</v>
      </c>
      <c r="C91" s="2" t="s">
        <v>101</v>
      </c>
      <c r="D91" s="3">
        <v>7.99</v>
      </c>
      <c r="E91" s="3">
        <v>58</v>
      </c>
      <c r="G91">
        <f t="shared" si="18"/>
        <v>9.51</v>
      </c>
      <c r="H91">
        <f t="shared" si="19"/>
        <v>0.16396551724137931</v>
      </c>
      <c r="J91">
        <f t="shared" si="20"/>
        <v>71</v>
      </c>
      <c r="L91">
        <f t="shared" si="21"/>
        <v>71</v>
      </c>
      <c r="M91">
        <f t="shared" si="22"/>
        <v>17.909999999999997</v>
      </c>
      <c r="N91">
        <f t="shared" si="23"/>
        <v>0.25225352112676053</v>
      </c>
      <c r="P91">
        <f t="shared" si="24"/>
        <v>61</v>
      </c>
      <c r="Q91">
        <f t="shared" si="25"/>
        <v>64</v>
      </c>
      <c r="R91">
        <f t="shared" si="26"/>
        <v>67</v>
      </c>
      <c r="Z91">
        <f>VLOOKUP(C91,[1]Sheet1!$B$2:$C$1355,2,0)</f>
        <v>56</v>
      </c>
    </row>
    <row r="92" spans="1:26" x14ac:dyDescent="0.35">
      <c r="A92" s="2">
        <v>91</v>
      </c>
      <c r="B92" s="2" t="s">
        <v>102</v>
      </c>
      <c r="C92" s="2" t="s">
        <v>103</v>
      </c>
      <c r="D92" s="3">
        <v>1.75</v>
      </c>
      <c r="E92" s="3">
        <v>19</v>
      </c>
      <c r="G92">
        <f t="shared" si="18"/>
        <v>2.0999999999999996</v>
      </c>
      <c r="H92">
        <f t="shared" si="19"/>
        <v>0.11052631578947367</v>
      </c>
      <c r="J92" s="3">
        <v>19</v>
      </c>
      <c r="L92">
        <f t="shared" si="21"/>
        <v>19</v>
      </c>
      <c r="M92">
        <f t="shared" si="22"/>
        <v>2.0999999999999996</v>
      </c>
      <c r="N92">
        <f t="shared" si="23"/>
        <v>0.11052631578947367</v>
      </c>
      <c r="P92">
        <f t="shared" si="24"/>
        <v>19</v>
      </c>
      <c r="Q92">
        <f t="shared" si="25"/>
        <v>19</v>
      </c>
      <c r="R92">
        <f t="shared" si="26"/>
        <v>19</v>
      </c>
      <c r="Z92">
        <f>VLOOKUP(C92,[1]Sheet1!$B$2:$C$1355,2,0)</f>
        <v>21</v>
      </c>
    </row>
    <row r="93" spans="1:26" x14ac:dyDescent="0.35">
      <c r="A93" s="2">
        <v>92</v>
      </c>
      <c r="B93" s="2" t="s">
        <v>102</v>
      </c>
      <c r="C93" s="2" t="s">
        <v>104</v>
      </c>
      <c r="D93" s="3">
        <v>1.83</v>
      </c>
      <c r="E93" s="3">
        <v>22</v>
      </c>
      <c r="G93">
        <f t="shared" si="18"/>
        <v>3.0699999999999994</v>
      </c>
      <c r="H93">
        <f t="shared" si="19"/>
        <v>0.13954545454545453</v>
      </c>
      <c r="J93" s="3">
        <v>22</v>
      </c>
      <c r="L93">
        <f t="shared" si="21"/>
        <v>22</v>
      </c>
      <c r="M93">
        <f t="shared" si="22"/>
        <v>3.0699999999999994</v>
      </c>
      <c r="N93">
        <f t="shared" si="23"/>
        <v>0.13954545454545453</v>
      </c>
      <c r="P93">
        <f t="shared" si="24"/>
        <v>22</v>
      </c>
      <c r="Q93">
        <f t="shared" si="25"/>
        <v>22</v>
      </c>
      <c r="R93">
        <f t="shared" si="26"/>
        <v>22</v>
      </c>
      <c r="Z93">
        <f>VLOOKUP(C93,[1]Sheet1!$B$2:$C$1355,2,0)</f>
        <v>23</v>
      </c>
    </row>
    <row r="94" spans="1:26" x14ac:dyDescent="0.35">
      <c r="A94" s="2">
        <v>93</v>
      </c>
      <c r="B94" s="2" t="s">
        <v>102</v>
      </c>
      <c r="C94" s="2" t="s">
        <v>105</v>
      </c>
      <c r="D94" s="3">
        <v>2.64</v>
      </c>
      <c r="E94" s="3">
        <v>24</v>
      </c>
      <c r="G94">
        <f t="shared" si="18"/>
        <v>2.9599999999999995</v>
      </c>
      <c r="H94">
        <f t="shared" si="19"/>
        <v>0.12333333333333331</v>
      </c>
      <c r="J94" s="3">
        <v>24</v>
      </c>
      <c r="L94">
        <f t="shared" si="21"/>
        <v>24</v>
      </c>
      <c r="M94">
        <f t="shared" si="22"/>
        <v>2.9599999999999995</v>
      </c>
      <c r="N94">
        <f t="shared" si="23"/>
        <v>0.12333333333333331</v>
      </c>
      <c r="P94">
        <f t="shared" si="24"/>
        <v>24</v>
      </c>
      <c r="Q94">
        <f t="shared" si="25"/>
        <v>24</v>
      </c>
      <c r="R94">
        <f t="shared" si="26"/>
        <v>24</v>
      </c>
      <c r="Z94">
        <f>VLOOKUP(C94,[1]Sheet1!$B$2:$C$1355,2,0)</f>
        <v>28</v>
      </c>
    </row>
    <row r="95" spans="1:26" x14ac:dyDescent="0.35">
      <c r="A95" s="2">
        <v>94</v>
      </c>
      <c r="B95" s="2" t="s">
        <v>102</v>
      </c>
      <c r="C95" s="2" t="s">
        <v>106</v>
      </c>
      <c r="D95" s="3">
        <v>3.43</v>
      </c>
      <c r="E95" s="3">
        <v>26</v>
      </c>
      <c r="G95">
        <f t="shared" si="18"/>
        <v>2.8699999999999997</v>
      </c>
      <c r="H95">
        <f t="shared" si="19"/>
        <v>0.11038461538461537</v>
      </c>
      <c r="J95" s="3">
        <v>26</v>
      </c>
      <c r="L95">
        <f t="shared" si="21"/>
        <v>26</v>
      </c>
      <c r="M95">
        <f t="shared" si="22"/>
        <v>2.8699999999999997</v>
      </c>
      <c r="N95">
        <f t="shared" si="23"/>
        <v>0.11038461538461537</v>
      </c>
      <c r="P95">
        <f t="shared" si="24"/>
        <v>26</v>
      </c>
      <c r="Q95">
        <f t="shared" si="25"/>
        <v>26</v>
      </c>
      <c r="R95">
        <f t="shared" si="26"/>
        <v>26</v>
      </c>
      <c r="Z95">
        <f>VLOOKUP(C95,[1]Sheet1!$B$2:$C$1355,2,0)</f>
        <v>24</v>
      </c>
    </row>
    <row r="96" spans="1:26" x14ac:dyDescent="0.35">
      <c r="A96" s="2">
        <v>95</v>
      </c>
      <c r="B96" s="2" t="s">
        <v>102</v>
      </c>
      <c r="C96" s="2" t="s">
        <v>107</v>
      </c>
      <c r="D96" s="3">
        <v>4.04</v>
      </c>
      <c r="E96" s="3">
        <v>30</v>
      </c>
      <c r="G96">
        <f t="shared" si="18"/>
        <v>3.6599999999999993</v>
      </c>
      <c r="H96">
        <f t="shared" si="19"/>
        <v>0.12199999999999997</v>
      </c>
      <c r="J96" s="3">
        <v>30</v>
      </c>
      <c r="L96">
        <f t="shared" si="21"/>
        <v>30</v>
      </c>
      <c r="M96">
        <f t="shared" si="22"/>
        <v>3.6599999999999993</v>
      </c>
      <c r="N96">
        <f t="shared" si="23"/>
        <v>0.12199999999999997</v>
      </c>
      <c r="P96">
        <f t="shared" si="24"/>
        <v>30</v>
      </c>
      <c r="Q96">
        <f t="shared" si="25"/>
        <v>30</v>
      </c>
      <c r="R96">
        <f t="shared" si="26"/>
        <v>30</v>
      </c>
      <c r="Z96">
        <f>VLOOKUP(C96,[1]Sheet1!$B$2:$C$1355,2,0)</f>
        <v>30</v>
      </c>
    </row>
    <row r="97" spans="1:26" x14ac:dyDescent="0.35">
      <c r="A97" s="2">
        <v>96</v>
      </c>
      <c r="B97" s="2" t="s">
        <v>102</v>
      </c>
      <c r="C97" s="2" t="s">
        <v>108</v>
      </c>
      <c r="D97" s="3">
        <v>3.16</v>
      </c>
      <c r="E97" s="3">
        <v>24</v>
      </c>
      <c r="G97">
        <f t="shared" si="18"/>
        <v>2.4399999999999995</v>
      </c>
      <c r="H97">
        <f t="shared" si="19"/>
        <v>0.10166666666666664</v>
      </c>
      <c r="J97" s="3">
        <v>24</v>
      </c>
      <c r="L97">
        <f t="shared" si="21"/>
        <v>24</v>
      </c>
      <c r="M97">
        <f t="shared" si="22"/>
        <v>2.4399999999999995</v>
      </c>
      <c r="N97">
        <f t="shared" si="23"/>
        <v>0.10166666666666664</v>
      </c>
      <c r="P97">
        <f t="shared" si="24"/>
        <v>24</v>
      </c>
      <c r="Q97">
        <f t="shared" si="25"/>
        <v>24</v>
      </c>
      <c r="R97">
        <f t="shared" si="26"/>
        <v>24</v>
      </c>
      <c r="Z97">
        <f>VLOOKUP(C97,[1]Sheet1!$B$2:$C$1355,2,0)</f>
        <v>25</v>
      </c>
    </row>
    <row r="98" spans="1:26" x14ac:dyDescent="0.35">
      <c r="A98" s="2">
        <v>97</v>
      </c>
      <c r="B98" s="2" t="s">
        <v>102</v>
      </c>
      <c r="C98" s="2" t="s">
        <v>109</v>
      </c>
      <c r="D98" s="3">
        <v>3.13</v>
      </c>
      <c r="E98" s="3">
        <v>22</v>
      </c>
      <c r="G98">
        <f t="shared" ref="G98:G129" si="27">IFERROR(((E98-MIN(E98/2,30)-4)*0.7)-$D98,0)</f>
        <v>1.7699999999999996</v>
      </c>
      <c r="H98">
        <f t="shared" ref="H98:H129" si="28">G98/E98</f>
        <v>8.0454545454545431E-2</v>
      </c>
      <c r="J98" s="3">
        <v>22</v>
      </c>
      <c r="L98">
        <f t="shared" ref="L98:L113" si="29">MAX(J98,E98)</f>
        <v>22</v>
      </c>
      <c r="M98">
        <f t="shared" ref="M98:M129" si="30">((L98-(MIN(L98/2,30))-4)*0.7)-D98</f>
        <v>1.7699999999999996</v>
      </c>
      <c r="N98">
        <f t="shared" ref="N98:N129" si="31">M98/L98</f>
        <v>8.0454545454545431E-2</v>
      </c>
      <c r="P98">
        <f t="shared" ref="P98:P134" si="32">IF(L98&gt;E98,IF(E98+3&lt;=L98,E98+3,L98),E98)</f>
        <v>22</v>
      </c>
      <c r="Q98">
        <f t="shared" ref="Q98:Q129" si="33">IF(P98&lt;$L98,IF(P98+3&lt;=L98,P98+3,L98),P98)</f>
        <v>22</v>
      </c>
      <c r="R98">
        <f t="shared" ref="R98:R129" si="34">IF(Q98&lt;$L98,Q98+3,IF(Q98&gt;=L98,L98,Q98+3))</f>
        <v>22</v>
      </c>
      <c r="Z98">
        <f>VLOOKUP(C98,[1]Sheet1!$B$2:$C$1355,2,0)</f>
        <v>24</v>
      </c>
    </row>
    <row r="99" spans="1:26" x14ac:dyDescent="0.35">
      <c r="A99" s="2">
        <v>98</v>
      </c>
      <c r="B99" s="2" t="s">
        <v>102</v>
      </c>
      <c r="C99" s="2" t="s">
        <v>110</v>
      </c>
      <c r="D99" s="3">
        <v>2.79</v>
      </c>
      <c r="E99" s="3">
        <v>29</v>
      </c>
      <c r="G99">
        <f t="shared" si="27"/>
        <v>4.5599999999999996</v>
      </c>
      <c r="H99">
        <f t="shared" si="28"/>
        <v>0.15724137931034482</v>
      </c>
      <c r="J99" s="3">
        <v>29</v>
      </c>
      <c r="L99">
        <f t="shared" si="29"/>
        <v>29</v>
      </c>
      <c r="M99">
        <f t="shared" si="30"/>
        <v>4.5599999999999996</v>
      </c>
      <c r="N99">
        <f t="shared" si="31"/>
        <v>0.15724137931034482</v>
      </c>
      <c r="P99">
        <f t="shared" si="32"/>
        <v>29</v>
      </c>
      <c r="Q99">
        <f t="shared" si="33"/>
        <v>29</v>
      </c>
      <c r="R99">
        <f t="shared" si="34"/>
        <v>29</v>
      </c>
      <c r="Z99">
        <f>VLOOKUP(C99,[1]Sheet1!$B$2:$C$1355,2,0)</f>
        <v>29</v>
      </c>
    </row>
    <row r="100" spans="1:26" x14ac:dyDescent="0.35">
      <c r="A100" s="2">
        <v>99</v>
      </c>
      <c r="B100" s="2" t="s">
        <v>102</v>
      </c>
      <c r="C100" s="2" t="s">
        <v>111</v>
      </c>
      <c r="D100" s="3">
        <v>5.69</v>
      </c>
      <c r="E100" s="3">
        <v>44</v>
      </c>
      <c r="G100">
        <f t="shared" si="27"/>
        <v>6.9099999999999993</v>
      </c>
      <c r="H100">
        <f t="shared" si="28"/>
        <v>0.15704545454545452</v>
      </c>
      <c r="J100" s="3">
        <v>44</v>
      </c>
      <c r="L100">
        <f t="shared" si="29"/>
        <v>44</v>
      </c>
      <c r="M100">
        <f t="shared" si="30"/>
        <v>6.9099999999999993</v>
      </c>
      <c r="N100">
        <f t="shared" si="31"/>
        <v>0.15704545454545452</v>
      </c>
      <c r="P100">
        <f t="shared" si="32"/>
        <v>44</v>
      </c>
      <c r="Q100">
        <f t="shared" si="33"/>
        <v>44</v>
      </c>
      <c r="R100">
        <f t="shared" si="34"/>
        <v>44</v>
      </c>
      <c r="Z100">
        <f>VLOOKUP(C100,[1]Sheet1!$B$2:$C$1355,2,0)</f>
        <v>48</v>
      </c>
    </row>
    <row r="101" spans="1:26" x14ac:dyDescent="0.35">
      <c r="A101" s="2">
        <v>100</v>
      </c>
      <c r="B101" s="2" t="s">
        <v>102</v>
      </c>
      <c r="C101" s="2" t="s">
        <v>112</v>
      </c>
      <c r="D101" s="3">
        <v>5.69</v>
      </c>
      <c r="E101" s="3">
        <v>34</v>
      </c>
      <c r="G101">
        <f t="shared" si="27"/>
        <v>3.4099999999999993</v>
      </c>
      <c r="H101">
        <f t="shared" si="28"/>
        <v>0.1002941176470588</v>
      </c>
      <c r="J101" s="3">
        <v>34</v>
      </c>
      <c r="L101">
        <f t="shared" si="29"/>
        <v>34</v>
      </c>
      <c r="M101">
        <f t="shared" si="30"/>
        <v>3.4099999999999993</v>
      </c>
      <c r="N101">
        <f t="shared" si="31"/>
        <v>0.1002941176470588</v>
      </c>
      <c r="P101">
        <f t="shared" si="32"/>
        <v>34</v>
      </c>
      <c r="Q101">
        <f t="shared" si="33"/>
        <v>34</v>
      </c>
      <c r="R101">
        <f t="shared" si="34"/>
        <v>34</v>
      </c>
      <c r="Z101">
        <f>VLOOKUP(C101,[1]Sheet1!$B$2:$C$1355,2,0)</f>
        <v>35</v>
      </c>
    </row>
    <row r="102" spans="1:26" x14ac:dyDescent="0.35">
      <c r="A102" s="2">
        <v>101</v>
      </c>
      <c r="B102" s="2" t="s">
        <v>102</v>
      </c>
      <c r="C102" s="2" t="s">
        <v>113</v>
      </c>
      <c r="D102" s="3">
        <v>10.38</v>
      </c>
      <c r="E102" s="3">
        <v>52</v>
      </c>
      <c r="G102">
        <f t="shared" si="27"/>
        <v>5.0199999999999978</v>
      </c>
      <c r="H102">
        <f t="shared" si="28"/>
        <v>9.653846153846149E-2</v>
      </c>
      <c r="J102" s="3">
        <v>52</v>
      </c>
      <c r="L102">
        <f t="shared" si="29"/>
        <v>52</v>
      </c>
      <c r="M102">
        <f t="shared" si="30"/>
        <v>5.0199999999999978</v>
      </c>
      <c r="N102">
        <f t="shared" si="31"/>
        <v>9.653846153846149E-2</v>
      </c>
      <c r="P102">
        <f t="shared" si="32"/>
        <v>52</v>
      </c>
      <c r="Q102">
        <f t="shared" si="33"/>
        <v>52</v>
      </c>
      <c r="R102">
        <f t="shared" si="34"/>
        <v>52</v>
      </c>
      <c r="Z102">
        <f>VLOOKUP(C102,[1]Sheet1!$B$2:$C$1355,2,0)</f>
        <v>52</v>
      </c>
    </row>
    <row r="103" spans="1:26" x14ac:dyDescent="0.35">
      <c r="A103" s="2">
        <v>102</v>
      </c>
      <c r="B103" s="2" t="s">
        <v>102</v>
      </c>
      <c r="C103" s="2" t="s">
        <v>114</v>
      </c>
      <c r="D103" s="3">
        <v>1.35</v>
      </c>
      <c r="E103" s="3">
        <v>25</v>
      </c>
      <c r="G103">
        <f t="shared" si="27"/>
        <v>4.5999999999999996</v>
      </c>
      <c r="H103">
        <f t="shared" si="28"/>
        <v>0.184</v>
      </c>
      <c r="J103" s="3">
        <v>25</v>
      </c>
      <c r="L103">
        <f t="shared" si="29"/>
        <v>25</v>
      </c>
      <c r="M103">
        <f t="shared" si="30"/>
        <v>4.5999999999999996</v>
      </c>
      <c r="N103">
        <f t="shared" si="31"/>
        <v>0.184</v>
      </c>
      <c r="P103">
        <f t="shared" si="32"/>
        <v>25</v>
      </c>
      <c r="Q103">
        <f t="shared" si="33"/>
        <v>25</v>
      </c>
      <c r="R103">
        <f t="shared" si="34"/>
        <v>25</v>
      </c>
      <c r="Z103">
        <f>VLOOKUP(C103,[1]Sheet1!$B$2:$C$1355,2,0)</f>
        <v>28</v>
      </c>
    </row>
    <row r="104" spans="1:26" x14ac:dyDescent="0.35">
      <c r="A104" s="2">
        <v>103</v>
      </c>
      <c r="B104" s="2" t="s">
        <v>102</v>
      </c>
      <c r="C104" s="2" t="s">
        <v>115</v>
      </c>
      <c r="D104" s="3">
        <v>0.53</v>
      </c>
      <c r="E104" s="3">
        <v>8</v>
      </c>
      <c r="G104">
        <f t="shared" si="27"/>
        <v>-0.53</v>
      </c>
      <c r="H104">
        <f t="shared" si="28"/>
        <v>-6.6250000000000003E-2</v>
      </c>
      <c r="J104" s="3">
        <v>8</v>
      </c>
      <c r="L104">
        <f t="shared" si="29"/>
        <v>8</v>
      </c>
      <c r="M104">
        <f t="shared" si="30"/>
        <v>-0.53</v>
      </c>
      <c r="N104">
        <f t="shared" si="31"/>
        <v>-6.6250000000000003E-2</v>
      </c>
      <c r="P104">
        <f t="shared" si="32"/>
        <v>8</v>
      </c>
      <c r="Q104">
        <f t="shared" si="33"/>
        <v>8</v>
      </c>
      <c r="R104">
        <f t="shared" si="34"/>
        <v>8</v>
      </c>
      <c r="Z104">
        <f>VLOOKUP(C104,[1]Sheet1!$B$2:$C$1355,2,0)</f>
        <v>8</v>
      </c>
    </row>
    <row r="105" spans="1:26" x14ac:dyDescent="0.35">
      <c r="A105" s="2">
        <v>104</v>
      </c>
      <c r="B105" s="2" t="s">
        <v>102</v>
      </c>
      <c r="C105" s="2" t="s">
        <v>116</v>
      </c>
      <c r="D105" s="3">
        <v>0.52</v>
      </c>
      <c r="E105" s="3">
        <v>8</v>
      </c>
      <c r="G105">
        <f t="shared" si="27"/>
        <v>-0.52</v>
      </c>
      <c r="H105">
        <f t="shared" si="28"/>
        <v>-6.5000000000000002E-2</v>
      </c>
      <c r="J105" s="3">
        <v>8</v>
      </c>
      <c r="L105">
        <f t="shared" si="29"/>
        <v>8</v>
      </c>
      <c r="M105">
        <f t="shared" si="30"/>
        <v>-0.52</v>
      </c>
      <c r="N105">
        <f t="shared" si="31"/>
        <v>-6.5000000000000002E-2</v>
      </c>
      <c r="P105">
        <f t="shared" si="32"/>
        <v>8</v>
      </c>
      <c r="Q105">
        <f t="shared" si="33"/>
        <v>8</v>
      </c>
      <c r="R105">
        <f t="shared" si="34"/>
        <v>8</v>
      </c>
      <c r="Z105">
        <f>VLOOKUP(C105,[1]Sheet1!$B$2:$C$1355,2,0)</f>
        <v>8</v>
      </c>
    </row>
    <row r="106" spans="1:26" x14ac:dyDescent="0.35">
      <c r="A106" s="2">
        <v>105</v>
      </c>
      <c r="B106" s="2" t="s">
        <v>102</v>
      </c>
      <c r="C106" s="2" t="s">
        <v>117</v>
      </c>
      <c r="D106" s="3">
        <v>0.26</v>
      </c>
      <c r="E106" s="3">
        <v>8</v>
      </c>
      <c r="G106">
        <f t="shared" si="27"/>
        <v>-0.26</v>
      </c>
      <c r="H106">
        <f t="shared" si="28"/>
        <v>-3.2500000000000001E-2</v>
      </c>
      <c r="J106" s="3">
        <v>8</v>
      </c>
      <c r="L106">
        <f t="shared" si="29"/>
        <v>8</v>
      </c>
      <c r="M106">
        <f t="shared" si="30"/>
        <v>-0.26</v>
      </c>
      <c r="N106">
        <f t="shared" si="31"/>
        <v>-3.2500000000000001E-2</v>
      </c>
      <c r="P106">
        <f t="shared" si="32"/>
        <v>8</v>
      </c>
      <c r="Q106">
        <f t="shared" si="33"/>
        <v>8</v>
      </c>
      <c r="R106">
        <f t="shared" si="34"/>
        <v>8</v>
      </c>
      <c r="Z106">
        <f>VLOOKUP(C106,[1]Sheet1!$B$2:$C$1355,2,0)</f>
        <v>8</v>
      </c>
    </row>
    <row r="107" spans="1:26" x14ac:dyDescent="0.35">
      <c r="A107" s="2">
        <v>106</v>
      </c>
      <c r="B107" s="2" t="s">
        <v>102</v>
      </c>
      <c r="C107" s="2" t="s">
        <v>118</v>
      </c>
      <c r="D107" s="3">
        <v>0.48</v>
      </c>
      <c r="E107" s="3">
        <v>8</v>
      </c>
      <c r="G107">
        <f t="shared" si="27"/>
        <v>-0.48</v>
      </c>
      <c r="H107">
        <f t="shared" si="28"/>
        <v>-0.06</v>
      </c>
      <c r="J107" s="3">
        <v>8</v>
      </c>
      <c r="L107">
        <f t="shared" si="29"/>
        <v>8</v>
      </c>
      <c r="M107">
        <f t="shared" si="30"/>
        <v>-0.48</v>
      </c>
      <c r="N107">
        <f t="shared" si="31"/>
        <v>-0.06</v>
      </c>
      <c r="P107">
        <f t="shared" si="32"/>
        <v>8</v>
      </c>
      <c r="Q107">
        <f t="shared" si="33"/>
        <v>8</v>
      </c>
      <c r="R107">
        <f t="shared" si="34"/>
        <v>8</v>
      </c>
      <c r="Z107">
        <f>VLOOKUP(C107,[1]Sheet1!$B$2:$C$1355,2,0)</f>
        <v>8</v>
      </c>
    </row>
    <row r="108" spans="1:26" x14ac:dyDescent="0.35">
      <c r="A108" s="2">
        <v>107</v>
      </c>
      <c r="B108" s="2" t="s">
        <v>102</v>
      </c>
      <c r="C108" s="2" t="s">
        <v>119</v>
      </c>
      <c r="D108" s="3">
        <v>0.69</v>
      </c>
      <c r="E108" s="3">
        <v>8</v>
      </c>
      <c r="G108">
        <f t="shared" si="27"/>
        <v>-0.69</v>
      </c>
      <c r="H108">
        <f t="shared" si="28"/>
        <v>-8.6249999999999993E-2</v>
      </c>
      <c r="J108" s="3">
        <v>8</v>
      </c>
      <c r="L108">
        <f t="shared" si="29"/>
        <v>8</v>
      </c>
      <c r="M108">
        <f t="shared" si="30"/>
        <v>-0.69</v>
      </c>
      <c r="N108">
        <f t="shared" si="31"/>
        <v>-8.6249999999999993E-2</v>
      </c>
      <c r="P108">
        <f t="shared" si="32"/>
        <v>8</v>
      </c>
      <c r="Q108">
        <f t="shared" si="33"/>
        <v>8</v>
      </c>
      <c r="R108">
        <f t="shared" si="34"/>
        <v>8</v>
      </c>
      <c r="Z108">
        <f>VLOOKUP(C108,[1]Sheet1!$B$2:$C$1355,2,0)</f>
        <v>8</v>
      </c>
    </row>
    <row r="109" spans="1:26" x14ac:dyDescent="0.35">
      <c r="A109" s="2">
        <v>108</v>
      </c>
      <c r="B109" s="2" t="s">
        <v>102</v>
      </c>
      <c r="C109" s="2" t="s">
        <v>120</v>
      </c>
      <c r="D109" s="3">
        <v>0.43</v>
      </c>
      <c r="E109" s="3">
        <v>8</v>
      </c>
      <c r="G109">
        <f t="shared" si="27"/>
        <v>-0.43</v>
      </c>
      <c r="H109">
        <f t="shared" si="28"/>
        <v>-5.3749999999999999E-2</v>
      </c>
      <c r="J109" s="3">
        <v>8</v>
      </c>
      <c r="L109">
        <f t="shared" si="29"/>
        <v>8</v>
      </c>
      <c r="M109">
        <f t="shared" si="30"/>
        <v>-0.43</v>
      </c>
      <c r="N109">
        <f t="shared" si="31"/>
        <v>-5.3749999999999999E-2</v>
      </c>
      <c r="P109">
        <f t="shared" si="32"/>
        <v>8</v>
      </c>
      <c r="Q109">
        <f t="shared" si="33"/>
        <v>8</v>
      </c>
      <c r="R109">
        <f t="shared" si="34"/>
        <v>8</v>
      </c>
      <c r="Z109">
        <f>VLOOKUP(C109,[1]Sheet1!$B$2:$C$1355,2,0)</f>
        <v>8</v>
      </c>
    </row>
    <row r="110" spans="1:26" x14ac:dyDescent="0.35">
      <c r="A110" s="2">
        <v>109</v>
      </c>
      <c r="B110" s="2" t="s">
        <v>102</v>
      </c>
      <c r="C110" s="2" t="s">
        <v>121</v>
      </c>
      <c r="D110" s="3">
        <v>0.38</v>
      </c>
      <c r="E110" s="3">
        <v>8</v>
      </c>
      <c r="G110">
        <f t="shared" si="27"/>
        <v>-0.38</v>
      </c>
      <c r="H110">
        <f t="shared" si="28"/>
        <v>-4.7500000000000001E-2</v>
      </c>
      <c r="J110" s="3">
        <v>8</v>
      </c>
      <c r="L110">
        <f t="shared" si="29"/>
        <v>8</v>
      </c>
      <c r="M110">
        <f t="shared" si="30"/>
        <v>-0.38</v>
      </c>
      <c r="N110">
        <f t="shared" si="31"/>
        <v>-4.7500000000000001E-2</v>
      </c>
      <c r="P110">
        <f t="shared" si="32"/>
        <v>8</v>
      </c>
      <c r="Q110">
        <f t="shared" si="33"/>
        <v>8</v>
      </c>
      <c r="R110">
        <f t="shared" si="34"/>
        <v>8</v>
      </c>
      <c r="Z110">
        <f>VLOOKUP(C110,[1]Sheet1!$B$2:$C$1355,2,0)</f>
        <v>8</v>
      </c>
    </row>
    <row r="111" spans="1:26" x14ac:dyDescent="0.35">
      <c r="A111" s="2">
        <v>110</v>
      </c>
      <c r="B111" s="2" t="s">
        <v>102</v>
      </c>
      <c r="C111" s="2" t="s">
        <v>122</v>
      </c>
      <c r="D111" s="3">
        <v>1.06</v>
      </c>
      <c r="E111" s="3">
        <v>8</v>
      </c>
      <c r="G111">
        <f t="shared" si="27"/>
        <v>-1.06</v>
      </c>
      <c r="H111">
        <f t="shared" si="28"/>
        <v>-0.13250000000000001</v>
      </c>
      <c r="J111" s="3">
        <v>8</v>
      </c>
      <c r="L111">
        <f t="shared" si="29"/>
        <v>8</v>
      </c>
      <c r="M111">
        <f t="shared" si="30"/>
        <v>-1.06</v>
      </c>
      <c r="N111">
        <f t="shared" si="31"/>
        <v>-0.13250000000000001</v>
      </c>
      <c r="P111">
        <f t="shared" si="32"/>
        <v>8</v>
      </c>
      <c r="Q111">
        <f t="shared" si="33"/>
        <v>8</v>
      </c>
      <c r="R111">
        <f t="shared" si="34"/>
        <v>8</v>
      </c>
      <c r="Z111">
        <f>VLOOKUP(C111,[1]Sheet1!$B$2:$C$1355,2,0)</f>
        <v>8</v>
      </c>
    </row>
    <row r="112" spans="1:26" x14ac:dyDescent="0.35">
      <c r="A112" s="2">
        <v>111</v>
      </c>
      <c r="B112" s="2" t="s">
        <v>102</v>
      </c>
      <c r="C112" s="2" t="s">
        <v>123</v>
      </c>
      <c r="D112" s="3">
        <v>0.38</v>
      </c>
      <c r="E112" s="3">
        <v>8</v>
      </c>
      <c r="G112">
        <f t="shared" si="27"/>
        <v>-0.38</v>
      </c>
      <c r="H112">
        <f t="shared" si="28"/>
        <v>-4.7500000000000001E-2</v>
      </c>
      <c r="J112" s="3">
        <v>8</v>
      </c>
      <c r="L112">
        <f t="shared" si="29"/>
        <v>8</v>
      </c>
      <c r="M112">
        <f t="shared" si="30"/>
        <v>-0.38</v>
      </c>
      <c r="N112">
        <f t="shared" si="31"/>
        <v>-4.7500000000000001E-2</v>
      </c>
      <c r="P112">
        <f t="shared" si="32"/>
        <v>8</v>
      </c>
      <c r="Q112">
        <f t="shared" si="33"/>
        <v>8</v>
      </c>
      <c r="R112">
        <f t="shared" si="34"/>
        <v>8</v>
      </c>
      <c r="Z112">
        <f>VLOOKUP(C112,[1]Sheet1!$B$2:$C$1355,2,0)</f>
        <v>8</v>
      </c>
    </row>
    <row r="113" spans="1:26" x14ac:dyDescent="0.35">
      <c r="A113" s="2">
        <v>112</v>
      </c>
      <c r="B113" s="2" t="s">
        <v>124</v>
      </c>
      <c r="C113" s="2" t="s">
        <v>125</v>
      </c>
      <c r="D113" s="3">
        <v>9.74</v>
      </c>
      <c r="E113" s="2">
        <v>78</v>
      </c>
      <c r="G113">
        <f t="shared" si="27"/>
        <v>21.059999999999995</v>
      </c>
      <c r="H113">
        <f t="shared" si="28"/>
        <v>0.26999999999999996</v>
      </c>
      <c r="J113">
        <f t="shared" ref="J113:J127" si="35">ROUND(IF(D113&lt;=3.2,28+10*(D113),(23.8+D113)/0.45),0)</f>
        <v>75</v>
      </c>
      <c r="L113">
        <f t="shared" si="29"/>
        <v>78</v>
      </c>
      <c r="M113">
        <f t="shared" si="30"/>
        <v>21.059999999999995</v>
      </c>
      <c r="N113">
        <f t="shared" si="31"/>
        <v>0.26999999999999996</v>
      </c>
      <c r="P113">
        <f t="shared" si="32"/>
        <v>78</v>
      </c>
      <c r="Q113">
        <f t="shared" si="33"/>
        <v>78</v>
      </c>
      <c r="R113">
        <f t="shared" si="34"/>
        <v>78</v>
      </c>
      <c r="Z113" t="e">
        <f>VLOOKUP(C113,[1]Sheet1!$B$2:$C$1355,2,0)</f>
        <v>#N/A</v>
      </c>
    </row>
    <row r="114" spans="1:26" x14ac:dyDescent="0.35">
      <c r="A114" s="2">
        <v>113</v>
      </c>
      <c r="B114" s="2" t="s">
        <v>124</v>
      </c>
      <c r="C114" s="2" t="s">
        <v>126</v>
      </c>
      <c r="D114" s="3">
        <v>19.48</v>
      </c>
      <c r="E114" s="3">
        <v>122</v>
      </c>
      <c r="G114">
        <f t="shared" si="27"/>
        <v>42.11999999999999</v>
      </c>
      <c r="H114">
        <f t="shared" si="28"/>
        <v>0.34524590163934421</v>
      </c>
      <c r="J114">
        <f t="shared" si="35"/>
        <v>96</v>
      </c>
      <c r="L114">
        <f>J114</f>
        <v>96</v>
      </c>
      <c r="M114">
        <f t="shared" si="30"/>
        <v>23.919999999999998</v>
      </c>
      <c r="N114">
        <f t="shared" si="31"/>
        <v>0.24916666666666665</v>
      </c>
      <c r="P114">
        <f t="shared" si="32"/>
        <v>122</v>
      </c>
      <c r="Q114">
        <f t="shared" si="33"/>
        <v>122</v>
      </c>
      <c r="R114">
        <f t="shared" si="34"/>
        <v>96</v>
      </c>
      <c r="Z114">
        <f>VLOOKUP(C114,[1]Sheet1!$B$2:$C$1355,2,0)</f>
        <v>132</v>
      </c>
    </row>
    <row r="115" spans="1:26" x14ac:dyDescent="0.35">
      <c r="A115" s="2">
        <v>114</v>
      </c>
      <c r="B115" s="2" t="s">
        <v>124</v>
      </c>
      <c r="C115" s="2" t="s">
        <v>127</v>
      </c>
      <c r="D115" s="3">
        <v>38.96</v>
      </c>
      <c r="E115" s="3">
        <v>196</v>
      </c>
      <c r="G115">
        <f t="shared" si="27"/>
        <v>74.44</v>
      </c>
      <c r="H115">
        <f t="shared" si="28"/>
        <v>0.37979591836734694</v>
      </c>
      <c r="J115">
        <f t="shared" si="35"/>
        <v>139</v>
      </c>
      <c r="L115">
        <f>J115</f>
        <v>139</v>
      </c>
      <c r="M115">
        <f t="shared" si="30"/>
        <v>34.54</v>
      </c>
      <c r="N115">
        <f t="shared" si="31"/>
        <v>0.24848920863309351</v>
      </c>
      <c r="P115">
        <f t="shared" si="32"/>
        <v>196</v>
      </c>
      <c r="Q115">
        <f t="shared" si="33"/>
        <v>196</v>
      </c>
      <c r="R115">
        <f t="shared" si="34"/>
        <v>139</v>
      </c>
      <c r="Z115">
        <f>VLOOKUP(C115,[1]Sheet1!$B$2:$C$1355,2,0)</f>
        <v>196</v>
      </c>
    </row>
    <row r="116" spans="1:26" x14ac:dyDescent="0.35">
      <c r="A116" s="2">
        <v>115</v>
      </c>
      <c r="B116" s="2" t="s">
        <v>124</v>
      </c>
      <c r="C116" s="2" t="s">
        <v>128</v>
      </c>
      <c r="D116" s="3">
        <v>12.65</v>
      </c>
      <c r="E116" s="3">
        <v>72</v>
      </c>
      <c r="G116">
        <f t="shared" si="27"/>
        <v>13.949999999999998</v>
      </c>
      <c r="H116">
        <f t="shared" si="28"/>
        <v>0.19374999999999998</v>
      </c>
      <c r="J116">
        <f t="shared" si="35"/>
        <v>81</v>
      </c>
      <c r="L116">
        <f>MAX(J116,E116)</f>
        <v>81</v>
      </c>
      <c r="M116">
        <f t="shared" si="30"/>
        <v>20.25</v>
      </c>
      <c r="N116">
        <f t="shared" si="31"/>
        <v>0.25</v>
      </c>
      <c r="P116">
        <f t="shared" si="32"/>
        <v>75</v>
      </c>
      <c r="Q116">
        <f t="shared" si="33"/>
        <v>78</v>
      </c>
      <c r="R116">
        <f t="shared" si="34"/>
        <v>81</v>
      </c>
      <c r="Z116">
        <f>VLOOKUP(C116,[1]Sheet1!$B$2:$C$1355,2,0)</f>
        <v>77</v>
      </c>
    </row>
    <row r="117" spans="1:26" x14ac:dyDescent="0.35">
      <c r="A117" s="2">
        <v>116</v>
      </c>
      <c r="B117" s="2" t="s">
        <v>124</v>
      </c>
      <c r="C117" s="2" t="s">
        <v>129</v>
      </c>
      <c r="D117" s="3">
        <v>25.3</v>
      </c>
      <c r="E117" s="3">
        <v>128</v>
      </c>
      <c r="G117">
        <f t="shared" si="27"/>
        <v>40.5</v>
      </c>
      <c r="H117">
        <f t="shared" si="28"/>
        <v>0.31640625</v>
      </c>
      <c r="J117">
        <f t="shared" si="35"/>
        <v>109</v>
      </c>
      <c r="L117">
        <v>139</v>
      </c>
      <c r="M117">
        <f t="shared" si="30"/>
        <v>48.2</v>
      </c>
      <c r="N117">
        <f t="shared" si="31"/>
        <v>0.34676258992805759</v>
      </c>
      <c r="P117">
        <f t="shared" si="32"/>
        <v>131</v>
      </c>
      <c r="Q117">
        <f t="shared" si="33"/>
        <v>134</v>
      </c>
      <c r="R117">
        <f t="shared" si="34"/>
        <v>137</v>
      </c>
      <c r="Z117">
        <f>VLOOKUP(C117,[1]Sheet1!$B$2:$C$1355,2,0)</f>
        <v>126</v>
      </c>
    </row>
    <row r="118" spans="1:26" x14ac:dyDescent="0.35">
      <c r="A118" s="2">
        <v>117</v>
      </c>
      <c r="B118" s="2" t="s">
        <v>124</v>
      </c>
      <c r="C118" s="2" t="s">
        <v>130</v>
      </c>
      <c r="D118" s="3">
        <v>50.6</v>
      </c>
      <c r="E118" s="3">
        <v>194</v>
      </c>
      <c r="G118">
        <f t="shared" si="27"/>
        <v>61.4</v>
      </c>
      <c r="H118">
        <f t="shared" si="28"/>
        <v>0.31649484536082473</v>
      </c>
      <c r="J118">
        <f t="shared" si="35"/>
        <v>165</v>
      </c>
      <c r="L118">
        <v>189</v>
      </c>
      <c r="M118">
        <f t="shared" si="30"/>
        <v>57.9</v>
      </c>
      <c r="N118">
        <f t="shared" si="31"/>
        <v>0.30634920634920632</v>
      </c>
      <c r="P118">
        <f t="shared" si="32"/>
        <v>194</v>
      </c>
      <c r="Q118">
        <f t="shared" si="33"/>
        <v>194</v>
      </c>
      <c r="R118">
        <f t="shared" si="34"/>
        <v>189</v>
      </c>
      <c r="Z118" t="e">
        <f>VLOOKUP(C118,[1]Sheet1!$B$2:$C$1355,2,0)</f>
        <v>#N/A</v>
      </c>
    </row>
    <row r="119" spans="1:26" x14ac:dyDescent="0.35">
      <c r="A119" s="2">
        <v>118</v>
      </c>
      <c r="B119" s="2" t="s">
        <v>124</v>
      </c>
      <c r="C119" s="2" t="s">
        <v>131</v>
      </c>
      <c r="D119" s="3">
        <v>7.45</v>
      </c>
      <c r="E119" s="3">
        <v>62</v>
      </c>
      <c r="G119">
        <f t="shared" si="27"/>
        <v>12.149999999999999</v>
      </c>
      <c r="H119">
        <f t="shared" si="28"/>
        <v>0.19596774193548386</v>
      </c>
      <c r="J119">
        <f t="shared" si="35"/>
        <v>69</v>
      </c>
      <c r="L119">
        <f t="shared" ref="L119:L140" si="36">MAX(J119,E119)</f>
        <v>69</v>
      </c>
      <c r="M119">
        <f t="shared" si="30"/>
        <v>17.05</v>
      </c>
      <c r="N119">
        <f t="shared" si="31"/>
        <v>0.24710144927536232</v>
      </c>
      <c r="P119">
        <f t="shared" si="32"/>
        <v>65</v>
      </c>
      <c r="Q119">
        <f t="shared" si="33"/>
        <v>68</v>
      </c>
      <c r="R119">
        <f t="shared" si="34"/>
        <v>71</v>
      </c>
      <c r="Z119">
        <f>VLOOKUP(C119,[1]Sheet1!$B$2:$C$1355,2,0)</f>
        <v>70</v>
      </c>
    </row>
    <row r="120" spans="1:26" x14ac:dyDescent="0.35">
      <c r="A120" s="2">
        <v>119</v>
      </c>
      <c r="B120" s="2" t="s">
        <v>124</v>
      </c>
      <c r="C120" s="2" t="s">
        <v>132</v>
      </c>
      <c r="D120" s="3">
        <v>15.05</v>
      </c>
      <c r="E120" s="3">
        <v>108</v>
      </c>
      <c r="G120">
        <f t="shared" si="27"/>
        <v>36.75</v>
      </c>
      <c r="H120">
        <f t="shared" si="28"/>
        <v>0.34027777777777779</v>
      </c>
      <c r="J120">
        <f t="shared" si="35"/>
        <v>86</v>
      </c>
      <c r="L120">
        <f t="shared" si="36"/>
        <v>108</v>
      </c>
      <c r="M120">
        <f t="shared" si="30"/>
        <v>36.75</v>
      </c>
      <c r="N120">
        <f t="shared" si="31"/>
        <v>0.34027777777777779</v>
      </c>
      <c r="P120">
        <f t="shared" si="32"/>
        <v>108</v>
      </c>
      <c r="Q120">
        <f t="shared" si="33"/>
        <v>108</v>
      </c>
      <c r="R120">
        <f t="shared" si="34"/>
        <v>108</v>
      </c>
      <c r="Z120">
        <f>VLOOKUP(C120,[1]Sheet1!$B$2:$C$1355,2,0)</f>
        <v>115</v>
      </c>
    </row>
    <row r="121" spans="1:26" x14ac:dyDescent="0.35">
      <c r="A121" s="2">
        <v>120</v>
      </c>
      <c r="B121" s="2" t="s">
        <v>124</v>
      </c>
      <c r="C121" s="2" t="s">
        <v>133</v>
      </c>
      <c r="D121" s="3">
        <v>30.09</v>
      </c>
      <c r="E121" s="3">
        <v>172</v>
      </c>
      <c r="G121">
        <f t="shared" si="27"/>
        <v>66.509999999999991</v>
      </c>
      <c r="H121">
        <f t="shared" si="28"/>
        <v>0.38668604651162786</v>
      </c>
      <c r="J121">
        <f t="shared" si="35"/>
        <v>120</v>
      </c>
      <c r="L121">
        <f t="shared" si="36"/>
        <v>172</v>
      </c>
      <c r="M121">
        <f t="shared" si="30"/>
        <v>66.509999999999991</v>
      </c>
      <c r="N121">
        <f t="shared" si="31"/>
        <v>0.38668604651162786</v>
      </c>
      <c r="P121">
        <f t="shared" si="32"/>
        <v>172</v>
      </c>
      <c r="Q121">
        <f t="shared" si="33"/>
        <v>172</v>
      </c>
      <c r="R121">
        <f t="shared" si="34"/>
        <v>172</v>
      </c>
      <c r="Z121">
        <f>VLOOKUP(C121,[1]Sheet1!$B$2:$C$1355,2,0)</f>
        <v>172</v>
      </c>
    </row>
    <row r="122" spans="1:26" x14ac:dyDescent="0.35">
      <c r="A122" s="2">
        <v>121</v>
      </c>
      <c r="B122" s="2" t="s">
        <v>124</v>
      </c>
      <c r="C122" s="2" t="s">
        <v>134</v>
      </c>
      <c r="D122" s="3">
        <v>7.14</v>
      </c>
      <c r="E122" s="3">
        <v>66</v>
      </c>
      <c r="G122">
        <f t="shared" si="27"/>
        <v>15.259999999999998</v>
      </c>
      <c r="H122">
        <f t="shared" si="28"/>
        <v>0.23121212121212117</v>
      </c>
      <c r="J122">
        <f t="shared" si="35"/>
        <v>69</v>
      </c>
      <c r="L122">
        <f t="shared" si="36"/>
        <v>69</v>
      </c>
      <c r="M122">
        <f t="shared" si="30"/>
        <v>17.36</v>
      </c>
      <c r="N122">
        <f t="shared" si="31"/>
        <v>0.25159420289855072</v>
      </c>
      <c r="P122">
        <f t="shared" si="32"/>
        <v>69</v>
      </c>
      <c r="Q122">
        <f t="shared" si="33"/>
        <v>69</v>
      </c>
      <c r="R122">
        <f t="shared" si="34"/>
        <v>69</v>
      </c>
      <c r="Z122">
        <f>VLOOKUP(C122,[1]Sheet1!$B$2:$C$1355,2,0)</f>
        <v>71</v>
      </c>
    </row>
    <row r="123" spans="1:26" x14ac:dyDescent="0.35">
      <c r="A123" s="2">
        <v>122</v>
      </c>
      <c r="B123" s="2" t="s">
        <v>124</v>
      </c>
      <c r="C123" s="2" t="s">
        <v>135</v>
      </c>
      <c r="D123" s="3">
        <v>14.29</v>
      </c>
      <c r="E123" s="3">
        <v>116</v>
      </c>
      <c r="G123">
        <f t="shared" si="27"/>
        <v>43.11</v>
      </c>
      <c r="H123">
        <f t="shared" si="28"/>
        <v>0.37163793103448273</v>
      </c>
      <c r="J123">
        <f t="shared" si="35"/>
        <v>85</v>
      </c>
      <c r="L123">
        <f t="shared" si="36"/>
        <v>116</v>
      </c>
      <c r="M123">
        <f t="shared" si="30"/>
        <v>43.11</v>
      </c>
      <c r="N123">
        <f t="shared" si="31"/>
        <v>0.37163793103448273</v>
      </c>
      <c r="P123">
        <f t="shared" si="32"/>
        <v>116</v>
      </c>
      <c r="Q123">
        <f t="shared" si="33"/>
        <v>116</v>
      </c>
      <c r="R123">
        <f t="shared" si="34"/>
        <v>116</v>
      </c>
      <c r="Z123">
        <f>VLOOKUP(C123,[1]Sheet1!$B$2:$C$1355,2,0)</f>
        <v>118</v>
      </c>
    </row>
    <row r="124" spans="1:26" x14ac:dyDescent="0.35">
      <c r="A124" s="2">
        <v>123</v>
      </c>
      <c r="B124" s="2" t="s">
        <v>124</v>
      </c>
      <c r="C124" s="2" t="s">
        <v>136</v>
      </c>
      <c r="D124" s="3">
        <v>28.58</v>
      </c>
      <c r="E124" s="3">
        <v>178</v>
      </c>
      <c r="G124">
        <f t="shared" si="27"/>
        <v>72.22</v>
      </c>
      <c r="H124">
        <f t="shared" si="28"/>
        <v>0.40573033707865169</v>
      </c>
      <c r="J124">
        <f t="shared" si="35"/>
        <v>116</v>
      </c>
      <c r="L124">
        <f t="shared" si="36"/>
        <v>178</v>
      </c>
      <c r="M124">
        <f t="shared" si="30"/>
        <v>72.22</v>
      </c>
      <c r="N124">
        <f t="shared" si="31"/>
        <v>0.40573033707865169</v>
      </c>
      <c r="P124">
        <f t="shared" si="32"/>
        <v>178</v>
      </c>
      <c r="Q124">
        <f t="shared" si="33"/>
        <v>178</v>
      </c>
      <c r="R124">
        <f t="shared" si="34"/>
        <v>178</v>
      </c>
      <c r="Z124">
        <f>VLOOKUP(C124,[1]Sheet1!$B$2:$C$1355,2,0)</f>
        <v>178</v>
      </c>
    </row>
    <row r="125" spans="1:26" x14ac:dyDescent="0.35">
      <c r="A125" s="2">
        <v>124</v>
      </c>
      <c r="B125" s="2" t="s">
        <v>124</v>
      </c>
      <c r="C125" s="2" t="s">
        <v>137</v>
      </c>
      <c r="D125" s="3">
        <v>13.4</v>
      </c>
      <c r="E125" s="3">
        <v>72</v>
      </c>
      <c r="G125">
        <f t="shared" si="27"/>
        <v>13.199999999999998</v>
      </c>
      <c r="H125">
        <f t="shared" si="28"/>
        <v>0.18333333333333329</v>
      </c>
      <c r="J125">
        <f t="shared" si="35"/>
        <v>83</v>
      </c>
      <c r="L125">
        <f t="shared" si="36"/>
        <v>83</v>
      </c>
      <c r="M125">
        <f t="shared" si="30"/>
        <v>20.9</v>
      </c>
      <c r="N125">
        <f t="shared" si="31"/>
        <v>0.25180722891566265</v>
      </c>
      <c r="P125">
        <f t="shared" si="32"/>
        <v>75</v>
      </c>
      <c r="Q125">
        <f t="shared" si="33"/>
        <v>78</v>
      </c>
      <c r="R125">
        <f t="shared" si="34"/>
        <v>81</v>
      </c>
      <c r="Z125">
        <f>VLOOKUP(C125,[1]Sheet1!$B$2:$C$1355,2,0)</f>
        <v>80</v>
      </c>
    </row>
    <row r="126" spans="1:26" x14ac:dyDescent="0.35">
      <c r="A126" s="2">
        <v>125</v>
      </c>
      <c r="B126" s="2" t="s">
        <v>124</v>
      </c>
      <c r="C126" s="2" t="s">
        <v>138</v>
      </c>
      <c r="D126" s="3">
        <v>26.8</v>
      </c>
      <c r="E126" s="3">
        <v>124</v>
      </c>
      <c r="G126">
        <f t="shared" si="27"/>
        <v>36.199999999999989</v>
      </c>
      <c r="H126">
        <f t="shared" si="28"/>
        <v>0.29193548387096763</v>
      </c>
      <c r="J126">
        <f t="shared" si="35"/>
        <v>112</v>
      </c>
      <c r="L126">
        <f t="shared" si="36"/>
        <v>124</v>
      </c>
      <c r="M126">
        <f t="shared" si="30"/>
        <v>36.199999999999989</v>
      </c>
      <c r="N126">
        <f t="shared" si="31"/>
        <v>0.29193548387096763</v>
      </c>
      <c r="P126">
        <f t="shared" si="32"/>
        <v>124</v>
      </c>
      <c r="Q126">
        <f t="shared" si="33"/>
        <v>124</v>
      </c>
      <c r="R126">
        <f t="shared" si="34"/>
        <v>124</v>
      </c>
      <c r="Z126">
        <f>VLOOKUP(C126,[1]Sheet1!$B$2:$C$1355,2,0)</f>
        <v>132</v>
      </c>
    </row>
    <row r="127" spans="1:26" x14ac:dyDescent="0.35">
      <c r="A127" s="2">
        <v>126</v>
      </c>
      <c r="B127" s="2" t="s">
        <v>124</v>
      </c>
      <c r="C127" s="2" t="s">
        <v>139</v>
      </c>
      <c r="D127" s="3">
        <v>53.6</v>
      </c>
      <c r="E127" s="3">
        <v>198</v>
      </c>
      <c r="G127">
        <f t="shared" si="27"/>
        <v>61.199999999999996</v>
      </c>
      <c r="H127">
        <f t="shared" si="28"/>
        <v>0.30909090909090908</v>
      </c>
      <c r="J127">
        <f t="shared" si="35"/>
        <v>172</v>
      </c>
      <c r="L127">
        <f t="shared" si="36"/>
        <v>198</v>
      </c>
      <c r="M127">
        <f t="shared" si="30"/>
        <v>61.199999999999996</v>
      </c>
      <c r="N127">
        <f t="shared" si="31"/>
        <v>0.30909090909090908</v>
      </c>
      <c r="P127">
        <f t="shared" si="32"/>
        <v>198</v>
      </c>
      <c r="Q127">
        <f t="shared" si="33"/>
        <v>198</v>
      </c>
      <c r="R127">
        <f t="shared" si="34"/>
        <v>198</v>
      </c>
      <c r="Z127">
        <f>VLOOKUP(C127,[1]Sheet1!$B$2:$C$1355,2,0)</f>
        <v>192</v>
      </c>
    </row>
    <row r="128" spans="1:26" x14ac:dyDescent="0.35">
      <c r="A128" s="2">
        <v>127</v>
      </c>
      <c r="B128" s="2" t="s">
        <v>140</v>
      </c>
      <c r="C128" s="2" t="s">
        <v>141</v>
      </c>
      <c r="D128" s="3">
        <v>0.44</v>
      </c>
      <c r="E128" s="3">
        <v>4</v>
      </c>
      <c r="G128">
        <f t="shared" si="27"/>
        <v>-1.8399999999999999</v>
      </c>
      <c r="H128">
        <f t="shared" si="28"/>
        <v>-0.45999999999999996</v>
      </c>
      <c r="J128" s="3">
        <v>4</v>
      </c>
      <c r="L128">
        <f t="shared" si="36"/>
        <v>4</v>
      </c>
      <c r="M128">
        <f t="shared" si="30"/>
        <v>-1.8399999999999999</v>
      </c>
      <c r="N128">
        <f t="shared" si="31"/>
        <v>-0.45999999999999996</v>
      </c>
      <c r="P128">
        <f t="shared" si="32"/>
        <v>4</v>
      </c>
      <c r="Q128">
        <f t="shared" si="33"/>
        <v>4</v>
      </c>
      <c r="R128">
        <f t="shared" si="34"/>
        <v>4</v>
      </c>
      <c r="Z128">
        <f>VLOOKUP(C128,[1]Sheet1!$B$2:$C$1355,2,0)</f>
        <v>14</v>
      </c>
    </row>
    <row r="129" spans="1:26" x14ac:dyDescent="0.35">
      <c r="A129" s="2">
        <v>128</v>
      </c>
      <c r="B129" s="2" t="s">
        <v>140</v>
      </c>
      <c r="C129" s="2" t="s">
        <v>142</v>
      </c>
      <c r="D129" s="3">
        <v>2.04</v>
      </c>
      <c r="E129" s="3">
        <v>9</v>
      </c>
      <c r="G129">
        <f t="shared" si="27"/>
        <v>-1.69</v>
      </c>
      <c r="H129">
        <f t="shared" si="28"/>
        <v>-0.18777777777777777</v>
      </c>
      <c r="J129" s="3">
        <v>9</v>
      </c>
      <c r="L129">
        <f t="shared" si="36"/>
        <v>9</v>
      </c>
      <c r="M129">
        <f t="shared" si="30"/>
        <v>-1.69</v>
      </c>
      <c r="N129">
        <f t="shared" si="31"/>
        <v>-0.18777777777777777</v>
      </c>
      <c r="P129">
        <f t="shared" si="32"/>
        <v>9</v>
      </c>
      <c r="Q129">
        <f t="shared" si="33"/>
        <v>9</v>
      </c>
      <c r="R129">
        <f t="shared" si="34"/>
        <v>9</v>
      </c>
      <c r="Z129">
        <f>VLOOKUP(C129,[1]Sheet1!$B$2:$C$1355,2,0)</f>
        <v>9</v>
      </c>
    </row>
    <row r="130" spans="1:26" x14ac:dyDescent="0.35">
      <c r="A130" s="2">
        <v>129</v>
      </c>
      <c r="B130" s="2" t="s">
        <v>140</v>
      </c>
      <c r="C130" s="2" t="s">
        <v>143</v>
      </c>
      <c r="D130" s="3">
        <v>2.04</v>
      </c>
      <c r="E130" s="3">
        <v>9</v>
      </c>
      <c r="G130">
        <f t="shared" ref="G130:G140" si="37">IFERROR(((E130-MIN(E130/2,30)-4)*0.7)-$D130,0)</f>
        <v>-1.69</v>
      </c>
      <c r="H130">
        <f t="shared" ref="H130:H161" si="38">G130/E130</f>
        <v>-0.18777777777777777</v>
      </c>
      <c r="J130" s="3">
        <v>9</v>
      </c>
      <c r="L130">
        <f t="shared" si="36"/>
        <v>9</v>
      </c>
      <c r="M130">
        <f t="shared" ref="M130:M161" si="39">((L130-(MIN(L130/2,30))-4)*0.7)-D130</f>
        <v>-1.69</v>
      </c>
      <c r="N130">
        <f t="shared" ref="N130:N161" si="40">M130/L130</f>
        <v>-0.18777777777777777</v>
      </c>
      <c r="P130">
        <f t="shared" si="32"/>
        <v>9</v>
      </c>
      <c r="Q130">
        <f t="shared" ref="Q130:Q161" si="41">IF(P130&lt;$L130,IF(P130+3&lt;=L130,P130+3,L130),P130)</f>
        <v>9</v>
      </c>
      <c r="R130">
        <f t="shared" ref="R130:R161" si="42">IF(Q130&lt;$L130,Q130+3,IF(Q130&gt;=L130,L130,Q130+3))</f>
        <v>9</v>
      </c>
      <c r="Z130">
        <f>VLOOKUP(C130,[1]Sheet1!$B$2:$C$1355,2,0)</f>
        <v>10</v>
      </c>
    </row>
    <row r="131" spans="1:26" x14ac:dyDescent="0.35">
      <c r="A131" s="2">
        <v>130</v>
      </c>
      <c r="B131" s="2" t="s">
        <v>140</v>
      </c>
      <c r="C131" s="2" t="s">
        <v>144</v>
      </c>
      <c r="D131" s="3">
        <v>2.04</v>
      </c>
      <c r="E131" s="3">
        <v>9</v>
      </c>
      <c r="G131">
        <f t="shared" si="37"/>
        <v>-1.69</v>
      </c>
      <c r="H131">
        <f t="shared" si="38"/>
        <v>-0.18777777777777777</v>
      </c>
      <c r="J131" s="3">
        <v>9</v>
      </c>
      <c r="L131">
        <f t="shared" si="36"/>
        <v>9</v>
      </c>
      <c r="M131">
        <f t="shared" si="39"/>
        <v>-1.69</v>
      </c>
      <c r="N131">
        <f t="shared" si="40"/>
        <v>-0.18777777777777777</v>
      </c>
      <c r="P131">
        <f t="shared" si="32"/>
        <v>9</v>
      </c>
      <c r="Q131">
        <f t="shared" si="41"/>
        <v>9</v>
      </c>
      <c r="R131">
        <f t="shared" si="42"/>
        <v>9</v>
      </c>
      <c r="Z131">
        <f>VLOOKUP(C131,[1]Sheet1!$B$2:$C$1355,2,0)</f>
        <v>9</v>
      </c>
    </row>
    <row r="132" spans="1:26" x14ac:dyDescent="0.35">
      <c r="A132" s="2">
        <v>131</v>
      </c>
      <c r="B132" s="2" t="s">
        <v>140</v>
      </c>
      <c r="C132" s="2" t="s">
        <v>145</v>
      </c>
      <c r="D132" s="3">
        <v>2.04</v>
      </c>
      <c r="E132" s="3">
        <v>9</v>
      </c>
      <c r="G132">
        <f t="shared" si="37"/>
        <v>-1.69</v>
      </c>
      <c r="H132">
        <f t="shared" si="38"/>
        <v>-0.18777777777777777</v>
      </c>
      <c r="J132" s="3">
        <v>9</v>
      </c>
      <c r="L132">
        <f t="shared" si="36"/>
        <v>9</v>
      </c>
      <c r="M132">
        <f t="shared" si="39"/>
        <v>-1.69</v>
      </c>
      <c r="N132">
        <f t="shared" si="40"/>
        <v>-0.18777777777777777</v>
      </c>
      <c r="P132">
        <f t="shared" si="32"/>
        <v>9</v>
      </c>
      <c r="Q132">
        <f t="shared" si="41"/>
        <v>9</v>
      </c>
      <c r="R132">
        <f t="shared" si="42"/>
        <v>9</v>
      </c>
      <c r="Z132">
        <f>VLOOKUP(C132,[1]Sheet1!$B$2:$C$1355,2,0)</f>
        <v>10</v>
      </c>
    </row>
    <row r="133" spans="1:26" x14ac:dyDescent="0.35">
      <c r="A133" s="2">
        <v>132</v>
      </c>
      <c r="B133" s="2" t="s">
        <v>140</v>
      </c>
      <c r="C133" s="2" t="s">
        <v>146</v>
      </c>
      <c r="D133" s="3">
        <v>2.04</v>
      </c>
      <c r="E133" s="3">
        <v>9</v>
      </c>
      <c r="G133">
        <f t="shared" si="37"/>
        <v>-1.69</v>
      </c>
      <c r="H133">
        <f t="shared" si="38"/>
        <v>-0.18777777777777777</v>
      </c>
      <c r="J133" s="3">
        <v>9</v>
      </c>
      <c r="L133">
        <f t="shared" si="36"/>
        <v>9</v>
      </c>
      <c r="M133">
        <f t="shared" si="39"/>
        <v>-1.69</v>
      </c>
      <c r="N133">
        <f t="shared" si="40"/>
        <v>-0.18777777777777777</v>
      </c>
      <c r="P133">
        <f t="shared" si="32"/>
        <v>9</v>
      </c>
      <c r="Q133">
        <f t="shared" si="41"/>
        <v>9</v>
      </c>
      <c r="R133">
        <f t="shared" si="42"/>
        <v>9</v>
      </c>
      <c r="Z133">
        <f>VLOOKUP(C133,[1]Sheet1!$B$2:$C$1355,2,0)</f>
        <v>9</v>
      </c>
    </row>
    <row r="134" spans="1:26" x14ac:dyDescent="0.35">
      <c r="A134" s="2">
        <v>133</v>
      </c>
      <c r="B134" s="2" t="s">
        <v>147</v>
      </c>
      <c r="C134" s="2" t="s">
        <v>23</v>
      </c>
      <c r="D134" s="3">
        <v>7.14</v>
      </c>
      <c r="E134" s="3">
        <v>66</v>
      </c>
      <c r="G134">
        <f t="shared" si="37"/>
        <v>15.259999999999998</v>
      </c>
      <c r="H134">
        <f t="shared" si="38"/>
        <v>0.23121212121212117</v>
      </c>
      <c r="J134">
        <f t="shared" ref="J134:J140" si="43">ROUND(IF(D134&lt;=3.2,28+10*(D134),(23.8+D134)/0.45),0)</f>
        <v>69</v>
      </c>
      <c r="L134">
        <f t="shared" si="36"/>
        <v>69</v>
      </c>
      <c r="M134">
        <f t="shared" si="39"/>
        <v>17.36</v>
      </c>
      <c r="N134">
        <f t="shared" si="40"/>
        <v>0.25159420289855072</v>
      </c>
      <c r="P134">
        <f t="shared" si="32"/>
        <v>69</v>
      </c>
      <c r="Q134">
        <f t="shared" si="41"/>
        <v>69</v>
      </c>
      <c r="R134">
        <f t="shared" si="42"/>
        <v>69</v>
      </c>
      <c r="Z134" t="e">
        <f>VLOOKUP(C134,[1]Sheet1!$B$2:$C$1355,2,0)</f>
        <v>#N/A</v>
      </c>
    </row>
    <row r="135" spans="1:26" x14ac:dyDescent="0.35">
      <c r="A135">
        <v>134</v>
      </c>
      <c r="B135" t="s">
        <v>9</v>
      </c>
      <c r="C135" t="s">
        <v>148</v>
      </c>
      <c r="D135">
        <v>14.38</v>
      </c>
      <c r="E135">
        <v>72</v>
      </c>
      <c r="G135">
        <f t="shared" si="37"/>
        <v>12.219999999999997</v>
      </c>
      <c r="H135">
        <f t="shared" si="38"/>
        <v>0.16972222222222219</v>
      </c>
      <c r="J135">
        <f t="shared" si="43"/>
        <v>85</v>
      </c>
      <c r="L135">
        <f t="shared" si="36"/>
        <v>85</v>
      </c>
    </row>
    <row r="136" spans="1:26" x14ac:dyDescent="0.35">
      <c r="A136">
        <v>135</v>
      </c>
      <c r="B136" t="s">
        <v>38</v>
      </c>
      <c r="C136" t="s">
        <v>149</v>
      </c>
      <c r="D136">
        <v>13.15</v>
      </c>
      <c r="E136">
        <v>69</v>
      </c>
      <c r="G136">
        <f t="shared" si="37"/>
        <v>11.35</v>
      </c>
      <c r="H136">
        <f t="shared" si="38"/>
        <v>0.16449275362318841</v>
      </c>
      <c r="J136">
        <f t="shared" si="43"/>
        <v>82</v>
      </c>
      <c r="L136">
        <f t="shared" si="36"/>
        <v>82</v>
      </c>
    </row>
    <row r="137" spans="1:26" x14ac:dyDescent="0.35">
      <c r="A137">
        <v>136</v>
      </c>
      <c r="B137" t="s">
        <v>150</v>
      </c>
      <c r="C137" t="s">
        <v>70</v>
      </c>
      <c r="D137">
        <v>8.49</v>
      </c>
      <c r="E137">
        <v>53</v>
      </c>
      <c r="G137">
        <f t="shared" si="37"/>
        <v>7.259999999999998</v>
      </c>
      <c r="H137">
        <f t="shared" si="38"/>
        <v>0.13698113207547166</v>
      </c>
      <c r="J137">
        <f t="shared" si="43"/>
        <v>72</v>
      </c>
      <c r="L137">
        <f t="shared" si="36"/>
        <v>72</v>
      </c>
    </row>
    <row r="138" spans="1:26" x14ac:dyDescent="0.35">
      <c r="A138">
        <v>137</v>
      </c>
      <c r="B138" t="s">
        <v>102</v>
      </c>
      <c r="C138" t="s">
        <v>151</v>
      </c>
      <c r="D138">
        <v>2.46</v>
      </c>
      <c r="E138">
        <v>19</v>
      </c>
      <c r="G138">
        <f t="shared" si="37"/>
        <v>1.3899999999999997</v>
      </c>
      <c r="H138">
        <f t="shared" si="38"/>
        <v>7.3157894736842088E-2</v>
      </c>
      <c r="J138">
        <f t="shared" si="43"/>
        <v>53</v>
      </c>
      <c r="L138">
        <f t="shared" si="36"/>
        <v>53</v>
      </c>
    </row>
    <row r="139" spans="1:26" x14ac:dyDescent="0.35">
      <c r="A139">
        <v>138</v>
      </c>
      <c r="B139" t="s">
        <v>102</v>
      </c>
      <c r="C139" t="s">
        <v>152</v>
      </c>
      <c r="D139">
        <v>1.64</v>
      </c>
      <c r="G139">
        <f t="shared" si="37"/>
        <v>-4.4399999999999995</v>
      </c>
      <c r="H139" t="e">
        <f t="shared" si="38"/>
        <v>#DIV/0!</v>
      </c>
      <c r="J139">
        <f t="shared" si="43"/>
        <v>44</v>
      </c>
      <c r="L139">
        <f t="shared" si="36"/>
        <v>44</v>
      </c>
    </row>
    <row r="140" spans="1:26" x14ac:dyDescent="0.35">
      <c r="A140">
        <v>139</v>
      </c>
      <c r="B140" t="s">
        <v>102</v>
      </c>
      <c r="C140" t="s">
        <v>153</v>
      </c>
      <c r="D140">
        <v>4.6500000000000004</v>
      </c>
      <c r="G140">
        <f t="shared" si="37"/>
        <v>-7.45</v>
      </c>
      <c r="H140" t="e">
        <f t="shared" si="38"/>
        <v>#DIV/0!</v>
      </c>
      <c r="J140">
        <f t="shared" si="43"/>
        <v>63</v>
      </c>
      <c r="L140">
        <f t="shared" si="36"/>
        <v>63</v>
      </c>
    </row>
  </sheetData>
  <conditionalFormatting sqref="L2:L69">
    <cfRule type="cellIs" dxfId="15" priority="1" operator="greaterThan">
      <formula>E2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topLeftCell="C1" workbookViewId="0">
      <selection activeCell="K4" sqref="K4"/>
    </sheetView>
  </sheetViews>
  <sheetFormatPr defaultRowHeight="14.5" x14ac:dyDescent="0.35"/>
  <cols>
    <col min="1" max="1" width="8" customWidth="1"/>
    <col min="2" max="2" width="55" customWidth="1"/>
    <col min="3" max="3" width="37" customWidth="1"/>
    <col min="4" max="5" width="17" customWidth="1"/>
    <col min="6" max="6" width="19" customWidth="1"/>
  </cols>
  <sheetData>
    <row r="1" spans="1:19" x14ac:dyDescent="0.35">
      <c r="A1" s="1" t="s">
        <v>0</v>
      </c>
      <c r="B1" s="1" t="s">
        <v>227</v>
      </c>
      <c r="C1" s="1" t="s">
        <v>219</v>
      </c>
      <c r="D1" s="1" t="s">
        <v>220</v>
      </c>
      <c r="E1" s="1" t="s">
        <v>221</v>
      </c>
      <c r="F1" s="1" t="s">
        <v>4</v>
      </c>
      <c r="H1" s="6" t="s">
        <v>5</v>
      </c>
      <c r="I1" s="6" t="s">
        <v>6</v>
      </c>
      <c r="K1" s="5" t="s">
        <v>7</v>
      </c>
      <c r="M1" s="5" t="s">
        <v>8</v>
      </c>
      <c r="Q1" s="17">
        <v>46118</v>
      </c>
      <c r="R1" s="17">
        <f>Q1+7</f>
        <v>46125</v>
      </c>
      <c r="S1" s="17">
        <f>R1+7</f>
        <v>46132</v>
      </c>
    </row>
    <row r="2" spans="1:19" x14ac:dyDescent="0.35">
      <c r="A2" s="2">
        <v>1</v>
      </c>
      <c r="B2" s="2" t="s">
        <v>228</v>
      </c>
      <c r="C2" s="2" t="s">
        <v>229</v>
      </c>
      <c r="D2" s="3">
        <v>5.72</v>
      </c>
      <c r="E2" s="3">
        <v>16.420000000000002</v>
      </c>
      <c r="F2" s="4">
        <v>85</v>
      </c>
      <c r="H2">
        <f>IFERROR(((F2-MIN(F2/2,30)-4)*0.7)-$D2,0)</f>
        <v>29.979999999999997</v>
      </c>
      <c r="I2" s="7">
        <f>H2/F2</f>
        <v>0.35270588235294115</v>
      </c>
      <c r="K2">
        <f>ROUND(IF(E2&lt;=3.2,28+10*(E2),(20/9*E2)+(476/9)),0)</f>
        <v>89</v>
      </c>
      <c r="L2" s="8">
        <f>M2-F2</f>
        <v>4</v>
      </c>
      <c r="M2" s="8">
        <f>MAX(K2,F2)</f>
        <v>89</v>
      </c>
      <c r="N2" s="13">
        <f>((M2-(MIN(M2/2,30))-4)*0.7)-E2</f>
        <v>22.08</v>
      </c>
      <c r="O2" s="16">
        <f>N2/M2</f>
        <v>0.24808988764044942</v>
      </c>
      <c r="Q2">
        <f>IF(M2&gt;F2,F2+ROUND((K2-F2)/3,0),F2)</f>
        <v>86</v>
      </c>
      <c r="R2">
        <f>IF(K2&gt;Q2,Q2+ROUND((K2-Q2)/2,0),F2)</f>
        <v>88</v>
      </c>
      <c r="S2">
        <f>IF(R2&lt;$L2,M2,R2)</f>
        <v>88</v>
      </c>
    </row>
    <row r="3" spans="1:19" x14ac:dyDescent="0.35">
      <c r="A3" s="2">
        <v>2</v>
      </c>
      <c r="B3" s="2" t="s">
        <v>228</v>
      </c>
      <c r="C3" s="2" t="s">
        <v>230</v>
      </c>
      <c r="D3" s="3">
        <v>11.44</v>
      </c>
      <c r="E3" s="3">
        <v>32.840000000000003</v>
      </c>
      <c r="F3" s="4">
        <v>155</v>
      </c>
      <c r="H3">
        <f>IFERROR(((F3-MIN(F3/2,30)-4)*0.7)-E3,0)</f>
        <v>51.859999999999985</v>
      </c>
      <c r="I3" s="7">
        <f>H3/F3</f>
        <v>0.33458064516129021</v>
      </c>
      <c r="K3">
        <f>ROUND(IF(E3&lt;=3.2,28+10*(E3),(20/9*E3)+(476/9)),0)</f>
        <v>126</v>
      </c>
      <c r="L3" s="8">
        <f>M3-F3</f>
        <v>0</v>
      </c>
      <c r="M3" s="8">
        <f>MAX(K3,F3)</f>
        <v>155</v>
      </c>
      <c r="N3" s="13">
        <f>((M3-(MIN(M3/2,30))-4)*0.7)-E3</f>
        <v>51.859999999999985</v>
      </c>
      <c r="O3" s="16">
        <f>N3/M3</f>
        <v>0.33458064516129021</v>
      </c>
      <c r="Q3">
        <f>IF(M3&gt;F3,F3+ROUND((K3-F3)/3,0),F3)</f>
        <v>155</v>
      </c>
      <c r="R3">
        <f>IF(K3&gt;Q3,Q3+ROUND((K3-Q3)/2,0),F3)</f>
        <v>155</v>
      </c>
      <c r="S3">
        <f>IF(R3&lt;$L3,M3,R3)</f>
        <v>155</v>
      </c>
    </row>
    <row r="4" spans="1:19" x14ac:dyDescent="0.35">
      <c r="A4" s="2">
        <v>3</v>
      </c>
      <c r="B4" s="2" t="s">
        <v>228</v>
      </c>
      <c r="C4" s="2" t="s">
        <v>231</v>
      </c>
      <c r="D4" s="3">
        <v>22.88</v>
      </c>
      <c r="E4" s="3">
        <v>65.680000000000007</v>
      </c>
      <c r="F4" s="4">
        <v>269</v>
      </c>
      <c r="H4">
        <f>IFERROR(((F4-MIN(F4/2,30)-4)*0.7)-E4,0)</f>
        <v>98.82</v>
      </c>
      <c r="I4" s="7">
        <f>H4/F4</f>
        <v>0.36736059479553901</v>
      </c>
      <c r="K4">
        <f>ROUND(IF(E4&lt;=3.2,28+10*(E4),(20/9*E4)+(476/9)),0)</f>
        <v>199</v>
      </c>
      <c r="L4" s="8">
        <f>M4-F4</f>
        <v>0</v>
      </c>
      <c r="M4" s="8">
        <f>MAX(K4,F4)</f>
        <v>269</v>
      </c>
      <c r="N4" s="13">
        <f>((M4-(MIN(M4/2,30))-4)*0.7)-E4</f>
        <v>98.82</v>
      </c>
      <c r="O4" s="16">
        <f>N4/M4</f>
        <v>0.36736059479553901</v>
      </c>
      <c r="Q4">
        <f>IF(M4&gt;F4,F4+ROUND((K4-F4)/3,0),F4)</f>
        <v>269</v>
      </c>
      <c r="R4">
        <f>IF(K4&gt;Q4,Q4+ROUND((K4-Q4)/2,0),F4)</f>
        <v>269</v>
      </c>
      <c r="S4">
        <f>IF(R4&lt;$L4,M4,R4)</f>
        <v>269</v>
      </c>
    </row>
    <row r="5" spans="1:19" x14ac:dyDescent="0.35">
      <c r="A5" s="2">
        <v>4</v>
      </c>
      <c r="B5" s="2" t="s">
        <v>228</v>
      </c>
      <c r="C5" s="2" t="s">
        <v>232</v>
      </c>
      <c r="D5" s="3">
        <v>34.32</v>
      </c>
      <c r="E5" s="3">
        <v>98.52</v>
      </c>
      <c r="F5" s="4">
        <v>389</v>
      </c>
      <c r="H5">
        <f>IFERROR(((F5-MIN(F5/2,30)-4)*0.7)-E5,0)</f>
        <v>149.97999999999996</v>
      </c>
      <c r="I5" s="7">
        <f>H5/F5</f>
        <v>0.38555269922879165</v>
      </c>
      <c r="K5">
        <f>ROUND(IF(E5&lt;=3.2,28+10*(E5),(20/9*E5)+(476/9)),0)</f>
        <v>272</v>
      </c>
      <c r="L5" s="8">
        <f>M5-F5</f>
        <v>0</v>
      </c>
      <c r="M5" s="8">
        <f>MAX(K5,F5)</f>
        <v>389</v>
      </c>
      <c r="N5" s="13">
        <f>((M5-(MIN(M5/2,30))-4)*0.7)-E5</f>
        <v>149.97999999999996</v>
      </c>
      <c r="O5" s="16">
        <f>N5/M5</f>
        <v>0.38555269922879165</v>
      </c>
      <c r="Q5">
        <f>IF(M5&gt;F5,F5+ROUND((K5-F5)/3,0),F5)</f>
        <v>389</v>
      </c>
      <c r="R5">
        <f>IF(K5&gt;Q5,Q5+ROUND((K5-Q5)/2,0),F5)</f>
        <v>389</v>
      </c>
      <c r="S5">
        <f>IF(R5&lt;$L5,M5,R5)</f>
        <v>389</v>
      </c>
    </row>
  </sheetData>
  <conditionalFormatting sqref="M2:M5">
    <cfRule type="cellIs" dxfId="14" priority="1" operator="greaterThan">
      <formula>F2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workbookViewId="0">
      <selection activeCell="H1" sqref="H1:M2"/>
    </sheetView>
  </sheetViews>
  <sheetFormatPr defaultRowHeight="14.5" x14ac:dyDescent="0.35"/>
  <cols>
    <col min="1" max="1" width="8" customWidth="1"/>
    <col min="2" max="2" width="31" customWidth="1"/>
    <col min="3" max="3" width="41" customWidth="1"/>
    <col min="4" max="5" width="17" customWidth="1"/>
    <col min="6" max="6" width="19" customWidth="1"/>
  </cols>
  <sheetData>
    <row r="1" spans="1:13" x14ac:dyDescent="0.35">
      <c r="A1" s="1" t="s">
        <v>0</v>
      </c>
      <c r="B1" s="1" t="s">
        <v>227</v>
      </c>
      <c r="C1" s="1" t="s">
        <v>219</v>
      </c>
      <c r="D1" s="1" t="s">
        <v>220</v>
      </c>
      <c r="E1" s="1" t="s">
        <v>221</v>
      </c>
      <c r="F1" s="1" t="s">
        <v>4</v>
      </c>
      <c r="H1" s="6" t="s">
        <v>5</v>
      </c>
      <c r="I1" s="6" t="s">
        <v>6</v>
      </c>
      <c r="K1" s="5" t="s">
        <v>7</v>
      </c>
      <c r="M1" s="5" t="s">
        <v>8</v>
      </c>
    </row>
    <row r="2" spans="1:13" x14ac:dyDescent="0.35">
      <c r="A2" s="2">
        <v>1</v>
      </c>
      <c r="B2" s="2" t="s">
        <v>233</v>
      </c>
      <c r="C2" s="2" t="s">
        <v>234</v>
      </c>
      <c r="D2" s="3">
        <v>4.09</v>
      </c>
      <c r="E2" s="3">
        <v>15.19</v>
      </c>
      <c r="F2" s="4">
        <v>69</v>
      </c>
      <c r="H2">
        <f>IFERROR(((F2-MIN(F2/2,30)-4)*0.7)-$D2,0)</f>
        <v>20.41</v>
      </c>
      <c r="I2" s="7">
        <f>H2/F2</f>
        <v>0.29579710144927535</v>
      </c>
      <c r="K2">
        <f>ROUND(IF(E2&lt;=3.2,28+10*(E2),(23.8+E2)/0.45),0)</f>
        <v>87</v>
      </c>
      <c r="M2" s="8">
        <f>MAX(K2,F2)</f>
        <v>87</v>
      </c>
    </row>
    <row r="3" spans="1:13" x14ac:dyDescent="0.35">
      <c r="A3" s="2">
        <v>2</v>
      </c>
      <c r="B3" s="2" t="s">
        <v>233</v>
      </c>
      <c r="C3" s="2" t="s">
        <v>235</v>
      </c>
      <c r="D3" s="3">
        <v>8.18</v>
      </c>
      <c r="E3" s="3">
        <v>30.38</v>
      </c>
      <c r="F3" s="4">
        <v>129</v>
      </c>
    </row>
    <row r="4" spans="1:13" x14ac:dyDescent="0.35">
      <c r="A4" s="2">
        <v>3</v>
      </c>
      <c r="B4" s="2" t="s">
        <v>233</v>
      </c>
      <c r="C4" s="2" t="s">
        <v>236</v>
      </c>
      <c r="D4" s="3">
        <v>16.36</v>
      </c>
      <c r="E4" s="3">
        <v>60.76</v>
      </c>
      <c r="F4" s="4">
        <v>239</v>
      </c>
    </row>
    <row r="5" spans="1:13" x14ac:dyDescent="0.35">
      <c r="A5" s="2">
        <v>4</v>
      </c>
      <c r="B5" s="2" t="s">
        <v>233</v>
      </c>
      <c r="C5" s="2" t="s">
        <v>237</v>
      </c>
      <c r="D5" s="3">
        <v>24.54</v>
      </c>
      <c r="E5" s="3">
        <v>91.14</v>
      </c>
      <c r="F5" s="4">
        <v>329</v>
      </c>
    </row>
  </sheetData>
  <conditionalFormatting sqref="M2">
    <cfRule type="cellIs" dxfId="13" priority="1" operator="greaterThan">
      <formula>F2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>
      <selection activeCell="H1" sqref="H1:M2"/>
    </sheetView>
  </sheetViews>
  <sheetFormatPr defaultRowHeight="14.5" x14ac:dyDescent="0.35"/>
  <cols>
    <col min="1" max="1" width="8" customWidth="1"/>
    <col min="2" max="2" width="28" customWidth="1"/>
    <col min="3" max="3" width="44" customWidth="1"/>
    <col min="4" max="5" width="17" customWidth="1"/>
    <col min="6" max="6" width="19" customWidth="1"/>
  </cols>
  <sheetData>
    <row r="1" spans="1:13" x14ac:dyDescent="0.35">
      <c r="A1" s="1" t="s">
        <v>0</v>
      </c>
      <c r="B1" s="1" t="s">
        <v>227</v>
      </c>
      <c r="C1" s="1" t="s">
        <v>219</v>
      </c>
      <c r="D1" s="1" t="s">
        <v>220</v>
      </c>
      <c r="E1" s="1" t="s">
        <v>221</v>
      </c>
      <c r="F1" s="1" t="s">
        <v>4</v>
      </c>
      <c r="H1" s="6" t="s">
        <v>5</v>
      </c>
      <c r="I1" s="6" t="s">
        <v>6</v>
      </c>
      <c r="K1" s="5" t="s">
        <v>7</v>
      </c>
      <c r="M1" s="5" t="s">
        <v>8</v>
      </c>
    </row>
    <row r="2" spans="1:13" x14ac:dyDescent="0.35">
      <c r="A2" s="2">
        <v>1</v>
      </c>
      <c r="B2" s="2" t="s">
        <v>238</v>
      </c>
      <c r="C2" s="2" t="s">
        <v>239</v>
      </c>
      <c r="D2" s="3">
        <v>7.94</v>
      </c>
      <c r="E2" s="3">
        <v>9.5399999999999991</v>
      </c>
      <c r="F2" s="4">
        <v>65</v>
      </c>
      <c r="H2">
        <f>IFERROR(((F2-MIN(F2/2,30)-4)*0.7)-$D2,0)</f>
        <v>13.759999999999998</v>
      </c>
      <c r="I2" s="7">
        <f>H2/F2</f>
        <v>0.21169230769230765</v>
      </c>
      <c r="K2">
        <f>ROUND(IF(E2&lt;=3.2,28+10*(E2),(23.8+E2)/0.45),0)</f>
        <v>74</v>
      </c>
      <c r="M2" s="8">
        <f>MAX(K2,F2)</f>
        <v>74</v>
      </c>
    </row>
    <row r="3" spans="1:13" x14ac:dyDescent="0.35">
      <c r="A3" s="2">
        <v>2</v>
      </c>
      <c r="B3" s="2" t="s">
        <v>238</v>
      </c>
      <c r="C3" s="2" t="s">
        <v>240</v>
      </c>
      <c r="D3" s="3">
        <v>15.88</v>
      </c>
      <c r="E3" s="3">
        <v>19.079999999999998</v>
      </c>
      <c r="F3" s="4">
        <v>115</v>
      </c>
    </row>
    <row r="4" spans="1:13" x14ac:dyDescent="0.35">
      <c r="A4" s="2">
        <v>3</v>
      </c>
      <c r="B4" s="2" t="s">
        <v>238</v>
      </c>
      <c r="C4" s="2" t="s">
        <v>241</v>
      </c>
      <c r="D4" s="3">
        <v>31.76</v>
      </c>
      <c r="E4" s="3">
        <v>38.159999999999997</v>
      </c>
      <c r="F4" s="4">
        <v>209</v>
      </c>
    </row>
    <row r="5" spans="1:13" x14ac:dyDescent="0.35">
      <c r="A5" s="2">
        <v>4</v>
      </c>
      <c r="B5" s="2" t="s">
        <v>238</v>
      </c>
      <c r="C5" s="2" t="s">
        <v>242</v>
      </c>
      <c r="D5" s="3">
        <v>47.64</v>
      </c>
      <c r="E5" s="3">
        <v>57.24</v>
      </c>
      <c r="F5" s="4">
        <v>299</v>
      </c>
    </row>
  </sheetData>
  <conditionalFormatting sqref="M2">
    <cfRule type="cellIs" dxfId="12" priority="1" operator="greaterThan">
      <formula>F2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3"/>
  <sheetViews>
    <sheetView topLeftCell="A43" workbookViewId="0">
      <selection activeCell="J6" sqref="J6"/>
    </sheetView>
  </sheetViews>
  <sheetFormatPr defaultRowHeight="14.5" x14ac:dyDescent="0.35"/>
  <cols>
    <col min="1" max="1" width="8" customWidth="1"/>
    <col min="2" max="2" width="28" customWidth="1"/>
    <col min="3" max="3" width="40" customWidth="1"/>
    <col min="4" max="4" width="13" customWidth="1"/>
    <col min="5" max="5" width="19" customWidth="1"/>
    <col min="7" max="7" width="6.7265625" bestFit="1" customWidth="1"/>
    <col min="8" max="8" width="8.1796875" bestFit="1" customWidth="1"/>
    <col min="10" max="10" width="9.453125" bestFit="1" customWidth="1"/>
    <col min="11" max="11" width="6.36328125" bestFit="1" customWidth="1"/>
    <col min="12" max="12" width="9.26953125" bestFit="1" customWidth="1"/>
    <col min="13" max="13" width="6.7265625" bestFit="1" customWidth="1"/>
    <col min="14" max="14" width="8.1796875" bestFit="1" customWidth="1"/>
    <col min="16" max="18" width="6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5</v>
      </c>
      <c r="H1" s="6" t="s">
        <v>6</v>
      </c>
      <c r="J1" s="5" t="s">
        <v>7</v>
      </c>
      <c r="L1" s="5" t="s">
        <v>8</v>
      </c>
      <c r="M1" s="6"/>
      <c r="N1" s="6"/>
      <c r="P1" s="17">
        <v>46118</v>
      </c>
      <c r="Q1" s="17">
        <f>P1+7</f>
        <v>46125</v>
      </c>
      <c r="R1" s="17">
        <f>Q1+7</f>
        <v>46132</v>
      </c>
    </row>
    <row r="2" spans="1:18" x14ac:dyDescent="0.35">
      <c r="A2" s="2">
        <v>1</v>
      </c>
      <c r="B2" s="2" t="s">
        <v>243</v>
      </c>
      <c r="C2" s="2" t="s">
        <v>244</v>
      </c>
      <c r="D2" s="3">
        <v>4.92</v>
      </c>
      <c r="E2" s="3">
        <v>56</v>
      </c>
      <c r="G2">
        <f t="shared" ref="G2:G33" si="0">IFERROR(((E2-MIN(E2/2,30)-4)*0.7)-$D2,0)</f>
        <v>11.879999999999997</v>
      </c>
      <c r="H2" s="7">
        <f t="shared" ref="H2:H33" si="1">G2/E2</f>
        <v>0.21214285714285711</v>
      </c>
      <c r="J2">
        <f t="shared" ref="J2:J33" si="2">ROUND(IF(D2&lt;=3.2,28+10*(D2),(23.8+D2)/0.45),0)</f>
        <v>64</v>
      </c>
      <c r="K2" s="8"/>
      <c r="L2" s="8">
        <f t="shared" ref="L2:L33" si="3">MAX(J2,E2)</f>
        <v>64</v>
      </c>
      <c r="M2">
        <f t="shared" ref="M2:M33" si="4">((L2-(MIN(L2/2,30))-4)*0.7)-D2</f>
        <v>16.079999999999998</v>
      </c>
      <c r="N2" s="7">
        <f t="shared" ref="N2:N33" si="5">M2/L2</f>
        <v>0.25124999999999997</v>
      </c>
      <c r="P2">
        <f t="shared" ref="P2:P33" si="6">IF(L2&gt;E2,IF(E2+3&lt;=L2,E2+3,L2),E2)</f>
        <v>59</v>
      </c>
      <c r="Q2">
        <f t="shared" ref="Q2:Q33" si="7">IF(P2&lt;$L2,IF(P2+3&lt;=L2,P2+3,L2),P2)</f>
        <v>62</v>
      </c>
      <c r="R2">
        <f t="shared" ref="R2:R33" si="8">IF(Q2&lt;$L2,IF(Q2+3&lt;=L2,Q2+3,L2),Q2)</f>
        <v>64</v>
      </c>
    </row>
    <row r="3" spans="1:18" x14ac:dyDescent="0.35">
      <c r="A3" s="2">
        <v>2</v>
      </c>
      <c r="B3" s="2" t="s">
        <v>243</v>
      </c>
      <c r="C3" s="2" t="s">
        <v>245</v>
      </c>
      <c r="D3" s="3">
        <v>5.66</v>
      </c>
      <c r="E3" s="3">
        <v>54</v>
      </c>
      <c r="G3">
        <f t="shared" si="0"/>
        <v>10.439999999999998</v>
      </c>
      <c r="H3" s="7">
        <f t="shared" si="1"/>
        <v>0.1933333333333333</v>
      </c>
      <c r="J3">
        <f t="shared" si="2"/>
        <v>65</v>
      </c>
      <c r="K3" s="8"/>
      <c r="L3" s="8">
        <f t="shared" si="3"/>
        <v>65</v>
      </c>
      <c r="M3">
        <f t="shared" si="4"/>
        <v>16.04</v>
      </c>
      <c r="N3" s="7">
        <f t="shared" si="5"/>
        <v>0.24676923076923077</v>
      </c>
      <c r="P3">
        <f t="shared" si="6"/>
        <v>57</v>
      </c>
      <c r="Q3">
        <f t="shared" si="7"/>
        <v>60</v>
      </c>
      <c r="R3">
        <f t="shared" si="8"/>
        <v>63</v>
      </c>
    </row>
    <row r="4" spans="1:18" x14ac:dyDescent="0.35">
      <c r="A4" s="2">
        <v>3</v>
      </c>
      <c r="B4" s="2" t="s">
        <v>243</v>
      </c>
      <c r="C4" s="2" t="s">
        <v>246</v>
      </c>
      <c r="D4" s="3">
        <v>7.26</v>
      </c>
      <c r="E4" s="3">
        <v>59</v>
      </c>
      <c r="G4">
        <f t="shared" si="0"/>
        <v>10.589999999999998</v>
      </c>
      <c r="H4" s="7">
        <f t="shared" si="1"/>
        <v>0.17949152542372879</v>
      </c>
      <c r="J4">
        <f t="shared" si="2"/>
        <v>69</v>
      </c>
      <c r="K4" s="8"/>
      <c r="L4" s="8">
        <f t="shared" si="3"/>
        <v>69</v>
      </c>
      <c r="M4">
        <f t="shared" si="4"/>
        <v>17.240000000000002</v>
      </c>
      <c r="N4" s="7">
        <f t="shared" si="5"/>
        <v>0.24985507246376815</v>
      </c>
      <c r="P4">
        <f t="shared" si="6"/>
        <v>62</v>
      </c>
      <c r="Q4">
        <f t="shared" si="7"/>
        <v>65</v>
      </c>
      <c r="R4">
        <f t="shared" si="8"/>
        <v>68</v>
      </c>
    </row>
    <row r="5" spans="1:18" x14ac:dyDescent="0.35">
      <c r="A5" s="2">
        <v>4</v>
      </c>
      <c r="B5" s="2" t="s">
        <v>243</v>
      </c>
      <c r="C5" s="2" t="s">
        <v>247</v>
      </c>
      <c r="D5" s="3">
        <v>8.57</v>
      </c>
      <c r="E5" s="3">
        <v>68</v>
      </c>
      <c r="G5">
        <f t="shared" si="0"/>
        <v>15.229999999999997</v>
      </c>
      <c r="H5" s="7">
        <f t="shared" si="1"/>
        <v>0.22397058823529406</v>
      </c>
      <c r="J5">
        <f t="shared" si="2"/>
        <v>72</v>
      </c>
      <c r="K5" s="8"/>
      <c r="L5" s="8">
        <f t="shared" si="3"/>
        <v>72</v>
      </c>
      <c r="M5">
        <f t="shared" si="4"/>
        <v>18.029999999999998</v>
      </c>
      <c r="N5" s="7">
        <f t="shared" si="5"/>
        <v>0.25041666666666662</v>
      </c>
      <c r="P5">
        <f t="shared" si="6"/>
        <v>71</v>
      </c>
      <c r="Q5">
        <f t="shared" si="7"/>
        <v>72</v>
      </c>
      <c r="R5">
        <f t="shared" si="8"/>
        <v>72</v>
      </c>
    </row>
    <row r="6" spans="1:18" x14ac:dyDescent="0.35">
      <c r="A6" s="2">
        <v>5</v>
      </c>
      <c r="B6" s="2" t="s">
        <v>243</v>
      </c>
      <c r="C6" s="2" t="s">
        <v>248</v>
      </c>
      <c r="D6" s="3">
        <v>9.11</v>
      </c>
      <c r="E6" s="3">
        <v>78</v>
      </c>
      <c r="G6">
        <f t="shared" si="0"/>
        <v>21.689999999999998</v>
      </c>
      <c r="H6" s="7">
        <f t="shared" si="1"/>
        <v>0.27807692307692305</v>
      </c>
      <c r="J6">
        <f t="shared" si="2"/>
        <v>73</v>
      </c>
      <c r="K6" s="8"/>
      <c r="L6" s="8">
        <f t="shared" si="3"/>
        <v>78</v>
      </c>
      <c r="M6">
        <f t="shared" si="4"/>
        <v>21.689999999999998</v>
      </c>
      <c r="N6" s="7">
        <f t="shared" si="5"/>
        <v>0.27807692307692305</v>
      </c>
      <c r="P6">
        <f t="shared" si="6"/>
        <v>78</v>
      </c>
      <c r="Q6">
        <f t="shared" si="7"/>
        <v>78</v>
      </c>
      <c r="R6">
        <f t="shared" si="8"/>
        <v>78</v>
      </c>
    </row>
    <row r="7" spans="1:18" x14ac:dyDescent="0.35">
      <c r="A7" s="2">
        <v>6</v>
      </c>
      <c r="B7" s="2" t="s">
        <v>249</v>
      </c>
      <c r="C7" s="2" t="s">
        <v>250</v>
      </c>
      <c r="D7" s="3">
        <v>6.1</v>
      </c>
      <c r="E7" s="3">
        <v>48</v>
      </c>
      <c r="G7">
        <f t="shared" si="0"/>
        <v>7.9</v>
      </c>
      <c r="H7" s="7">
        <f t="shared" si="1"/>
        <v>0.16458333333333333</v>
      </c>
      <c r="J7">
        <f t="shared" si="2"/>
        <v>66</v>
      </c>
      <c r="K7" s="8"/>
      <c r="L7" s="8">
        <f t="shared" si="3"/>
        <v>66</v>
      </c>
      <c r="M7">
        <f t="shared" si="4"/>
        <v>16.299999999999997</v>
      </c>
      <c r="N7" s="7">
        <f t="shared" si="5"/>
        <v>0.24696969696969692</v>
      </c>
      <c r="P7">
        <f t="shared" si="6"/>
        <v>51</v>
      </c>
      <c r="Q7">
        <f t="shared" si="7"/>
        <v>54</v>
      </c>
      <c r="R7">
        <f t="shared" si="8"/>
        <v>57</v>
      </c>
    </row>
    <row r="8" spans="1:18" x14ac:dyDescent="0.35">
      <c r="A8" s="2">
        <v>7</v>
      </c>
      <c r="B8" s="2" t="s">
        <v>249</v>
      </c>
      <c r="C8" s="2" t="s">
        <v>251</v>
      </c>
      <c r="D8" s="3">
        <v>7.07</v>
      </c>
      <c r="E8" s="3">
        <v>58</v>
      </c>
      <c r="G8">
        <f t="shared" si="0"/>
        <v>10.43</v>
      </c>
      <c r="H8" s="7">
        <f t="shared" si="1"/>
        <v>0.17982758620689654</v>
      </c>
      <c r="J8">
        <f t="shared" si="2"/>
        <v>69</v>
      </c>
      <c r="K8" s="8"/>
      <c r="L8" s="8">
        <f t="shared" si="3"/>
        <v>69</v>
      </c>
      <c r="M8">
        <f t="shared" si="4"/>
        <v>17.43</v>
      </c>
      <c r="N8" s="7">
        <f t="shared" si="5"/>
        <v>0.25260869565217392</v>
      </c>
      <c r="P8">
        <f t="shared" si="6"/>
        <v>61</v>
      </c>
      <c r="Q8">
        <f t="shared" si="7"/>
        <v>64</v>
      </c>
      <c r="R8">
        <f t="shared" si="8"/>
        <v>67</v>
      </c>
    </row>
    <row r="9" spans="1:18" x14ac:dyDescent="0.35">
      <c r="A9" s="2">
        <v>8</v>
      </c>
      <c r="B9" s="2" t="s">
        <v>249</v>
      </c>
      <c r="C9" s="2" t="s">
        <v>252</v>
      </c>
      <c r="D9" s="3">
        <v>7.03</v>
      </c>
      <c r="E9" s="3">
        <v>60</v>
      </c>
      <c r="G9">
        <f t="shared" si="0"/>
        <v>11.169999999999998</v>
      </c>
      <c r="H9" s="7">
        <f t="shared" si="1"/>
        <v>0.18616666666666665</v>
      </c>
      <c r="J9">
        <f t="shared" si="2"/>
        <v>69</v>
      </c>
      <c r="K9" s="8"/>
      <c r="L9" s="8">
        <f t="shared" si="3"/>
        <v>69</v>
      </c>
      <c r="M9">
        <f t="shared" si="4"/>
        <v>17.47</v>
      </c>
      <c r="N9" s="7">
        <f t="shared" si="5"/>
        <v>0.25318840579710145</v>
      </c>
      <c r="P9">
        <f t="shared" si="6"/>
        <v>63</v>
      </c>
      <c r="Q9">
        <f t="shared" si="7"/>
        <v>66</v>
      </c>
      <c r="R9">
        <f t="shared" si="8"/>
        <v>69</v>
      </c>
    </row>
    <row r="10" spans="1:18" x14ac:dyDescent="0.35">
      <c r="A10" s="2">
        <v>9</v>
      </c>
      <c r="B10" s="2" t="s">
        <v>249</v>
      </c>
      <c r="C10" s="2" t="s">
        <v>253</v>
      </c>
      <c r="D10" s="3">
        <v>8.6300000000000008</v>
      </c>
      <c r="E10" s="3">
        <v>64</v>
      </c>
      <c r="G10">
        <f t="shared" si="0"/>
        <v>12.37</v>
      </c>
      <c r="H10" s="7">
        <f t="shared" si="1"/>
        <v>0.19328124999999999</v>
      </c>
      <c r="J10">
        <f t="shared" si="2"/>
        <v>72</v>
      </c>
      <c r="K10" s="8"/>
      <c r="L10" s="8">
        <f t="shared" si="3"/>
        <v>72</v>
      </c>
      <c r="M10">
        <f t="shared" si="4"/>
        <v>17.97</v>
      </c>
      <c r="N10" s="7">
        <f t="shared" si="5"/>
        <v>0.24958333333333332</v>
      </c>
      <c r="P10">
        <f t="shared" si="6"/>
        <v>67</v>
      </c>
      <c r="Q10">
        <f t="shared" si="7"/>
        <v>70</v>
      </c>
      <c r="R10">
        <f t="shared" si="8"/>
        <v>72</v>
      </c>
    </row>
    <row r="11" spans="1:18" x14ac:dyDescent="0.35">
      <c r="A11" s="2">
        <v>10</v>
      </c>
      <c r="B11" s="2" t="s">
        <v>249</v>
      </c>
      <c r="C11" s="2" t="s">
        <v>254</v>
      </c>
      <c r="D11" s="3">
        <v>8.4700000000000006</v>
      </c>
      <c r="E11" s="3">
        <v>65</v>
      </c>
      <c r="G11">
        <f t="shared" si="0"/>
        <v>13.229999999999999</v>
      </c>
      <c r="H11" s="7">
        <f t="shared" si="1"/>
        <v>0.20353846153846153</v>
      </c>
      <c r="J11">
        <f t="shared" si="2"/>
        <v>72</v>
      </c>
      <c r="K11" s="8"/>
      <c r="L11" s="8">
        <f t="shared" si="3"/>
        <v>72</v>
      </c>
      <c r="M11">
        <f t="shared" si="4"/>
        <v>18.129999999999995</v>
      </c>
      <c r="N11" s="7">
        <f t="shared" si="5"/>
        <v>0.2518055555555555</v>
      </c>
      <c r="P11">
        <f t="shared" si="6"/>
        <v>68</v>
      </c>
      <c r="Q11">
        <f t="shared" si="7"/>
        <v>71</v>
      </c>
      <c r="R11">
        <f t="shared" si="8"/>
        <v>72</v>
      </c>
    </row>
    <row r="12" spans="1:18" x14ac:dyDescent="0.35">
      <c r="A12" s="2">
        <v>11</v>
      </c>
      <c r="B12" s="2" t="s">
        <v>249</v>
      </c>
      <c r="C12" s="2" t="s">
        <v>255</v>
      </c>
      <c r="D12" s="3">
        <v>8.77</v>
      </c>
      <c r="E12" s="3">
        <v>78</v>
      </c>
      <c r="G12">
        <f t="shared" si="0"/>
        <v>22.029999999999998</v>
      </c>
      <c r="H12" s="7">
        <f t="shared" si="1"/>
        <v>0.28243589743589742</v>
      </c>
      <c r="J12">
        <f t="shared" si="2"/>
        <v>72</v>
      </c>
      <c r="K12" s="8"/>
      <c r="L12" s="8">
        <f t="shared" si="3"/>
        <v>78</v>
      </c>
      <c r="M12">
        <f t="shared" si="4"/>
        <v>22.029999999999998</v>
      </c>
      <c r="N12" s="7">
        <f t="shared" si="5"/>
        <v>0.28243589743589742</v>
      </c>
      <c r="P12">
        <f t="shared" si="6"/>
        <v>78</v>
      </c>
      <c r="Q12">
        <f t="shared" si="7"/>
        <v>78</v>
      </c>
      <c r="R12">
        <f t="shared" si="8"/>
        <v>78</v>
      </c>
    </row>
    <row r="13" spans="1:18" x14ac:dyDescent="0.35">
      <c r="A13" s="2">
        <v>12</v>
      </c>
      <c r="B13" s="2" t="s">
        <v>249</v>
      </c>
      <c r="C13" s="2" t="s">
        <v>256</v>
      </c>
      <c r="D13" s="3">
        <v>11.23</v>
      </c>
      <c r="E13" s="3">
        <v>66</v>
      </c>
      <c r="G13">
        <f t="shared" si="0"/>
        <v>11.169999999999998</v>
      </c>
      <c r="H13" s="7">
        <f t="shared" si="1"/>
        <v>0.16924242424242422</v>
      </c>
      <c r="J13">
        <f t="shared" si="2"/>
        <v>78</v>
      </c>
      <c r="K13" s="8"/>
      <c r="L13" s="8">
        <f t="shared" si="3"/>
        <v>78</v>
      </c>
      <c r="M13">
        <f t="shared" si="4"/>
        <v>19.569999999999997</v>
      </c>
      <c r="N13" s="7">
        <f t="shared" si="5"/>
        <v>0.25089743589743585</v>
      </c>
      <c r="P13">
        <f t="shared" si="6"/>
        <v>69</v>
      </c>
      <c r="Q13">
        <f t="shared" si="7"/>
        <v>72</v>
      </c>
      <c r="R13">
        <f t="shared" si="8"/>
        <v>75</v>
      </c>
    </row>
    <row r="14" spans="1:18" x14ac:dyDescent="0.35">
      <c r="A14" s="2">
        <v>13</v>
      </c>
      <c r="B14" s="2" t="s">
        <v>257</v>
      </c>
      <c r="C14" s="2" t="s">
        <v>258</v>
      </c>
      <c r="D14" s="3">
        <v>6.13</v>
      </c>
      <c r="E14" s="3">
        <v>48</v>
      </c>
      <c r="G14">
        <f t="shared" si="0"/>
        <v>7.87</v>
      </c>
      <c r="H14" s="7">
        <f t="shared" si="1"/>
        <v>0.16395833333333334</v>
      </c>
      <c r="J14">
        <f t="shared" si="2"/>
        <v>67</v>
      </c>
      <c r="K14" s="8"/>
      <c r="L14" s="8">
        <f t="shared" si="3"/>
        <v>67</v>
      </c>
      <c r="M14">
        <f t="shared" si="4"/>
        <v>16.97</v>
      </c>
      <c r="N14" s="7">
        <f t="shared" si="5"/>
        <v>0.25328358208955221</v>
      </c>
      <c r="P14">
        <f t="shared" si="6"/>
        <v>51</v>
      </c>
      <c r="Q14">
        <f t="shared" si="7"/>
        <v>54</v>
      </c>
      <c r="R14">
        <f t="shared" si="8"/>
        <v>57</v>
      </c>
    </row>
    <row r="15" spans="1:18" x14ac:dyDescent="0.35">
      <c r="A15" s="2">
        <v>14</v>
      </c>
      <c r="B15" s="2" t="s">
        <v>257</v>
      </c>
      <c r="C15" s="2" t="s">
        <v>259</v>
      </c>
      <c r="D15" s="3">
        <v>7.16</v>
      </c>
      <c r="E15" s="3">
        <v>58</v>
      </c>
      <c r="G15">
        <f t="shared" si="0"/>
        <v>10.34</v>
      </c>
      <c r="H15" s="7">
        <f t="shared" si="1"/>
        <v>0.17827586206896551</v>
      </c>
      <c r="J15">
        <f t="shared" si="2"/>
        <v>69</v>
      </c>
      <c r="K15" s="8"/>
      <c r="L15" s="8">
        <f t="shared" si="3"/>
        <v>69</v>
      </c>
      <c r="M15">
        <f t="shared" si="4"/>
        <v>17.34</v>
      </c>
      <c r="N15" s="7">
        <f t="shared" si="5"/>
        <v>0.25130434782608696</v>
      </c>
      <c r="P15">
        <f t="shared" si="6"/>
        <v>61</v>
      </c>
      <c r="Q15">
        <f t="shared" si="7"/>
        <v>64</v>
      </c>
      <c r="R15">
        <f t="shared" si="8"/>
        <v>67</v>
      </c>
    </row>
    <row r="16" spans="1:18" x14ac:dyDescent="0.35">
      <c r="A16" s="2">
        <v>15</v>
      </c>
      <c r="B16" s="2" t="s">
        <v>257</v>
      </c>
      <c r="C16" s="2" t="s">
        <v>260</v>
      </c>
      <c r="D16" s="3">
        <v>8.56</v>
      </c>
      <c r="E16" s="3">
        <v>64</v>
      </c>
      <c r="G16">
        <f t="shared" si="0"/>
        <v>12.44</v>
      </c>
      <c r="H16" s="7">
        <f t="shared" si="1"/>
        <v>0.19437499999999999</v>
      </c>
      <c r="J16">
        <f t="shared" si="2"/>
        <v>72</v>
      </c>
      <c r="K16" s="8"/>
      <c r="L16" s="8">
        <f t="shared" si="3"/>
        <v>72</v>
      </c>
      <c r="M16">
        <f t="shared" si="4"/>
        <v>18.04</v>
      </c>
      <c r="N16" s="7">
        <f t="shared" si="5"/>
        <v>0.25055555555555553</v>
      </c>
      <c r="P16">
        <f t="shared" si="6"/>
        <v>67</v>
      </c>
      <c r="Q16">
        <f t="shared" si="7"/>
        <v>70</v>
      </c>
      <c r="R16">
        <f t="shared" si="8"/>
        <v>72</v>
      </c>
    </row>
    <row r="17" spans="1:18" x14ac:dyDescent="0.35">
      <c r="A17" s="2">
        <v>16</v>
      </c>
      <c r="B17" s="2" t="s">
        <v>257</v>
      </c>
      <c r="C17" s="2" t="s">
        <v>261</v>
      </c>
      <c r="D17" s="3">
        <v>8.86</v>
      </c>
      <c r="E17" s="3">
        <v>78</v>
      </c>
      <c r="G17">
        <f t="shared" si="0"/>
        <v>21.939999999999998</v>
      </c>
      <c r="H17" s="7">
        <f t="shared" si="1"/>
        <v>0.28128205128205125</v>
      </c>
      <c r="J17">
        <f t="shared" si="2"/>
        <v>73</v>
      </c>
      <c r="K17" s="8"/>
      <c r="L17" s="8">
        <f t="shared" si="3"/>
        <v>78</v>
      </c>
      <c r="M17">
        <f t="shared" si="4"/>
        <v>21.939999999999998</v>
      </c>
      <c r="N17" s="7">
        <f t="shared" si="5"/>
        <v>0.28128205128205125</v>
      </c>
      <c r="P17">
        <f t="shared" si="6"/>
        <v>78</v>
      </c>
      <c r="Q17">
        <f t="shared" si="7"/>
        <v>78</v>
      </c>
      <c r="R17">
        <f t="shared" si="8"/>
        <v>78</v>
      </c>
    </row>
    <row r="18" spans="1:18" x14ac:dyDescent="0.35">
      <c r="A18" s="2">
        <v>17</v>
      </c>
      <c r="B18" s="2" t="s">
        <v>262</v>
      </c>
      <c r="C18" s="2" t="s">
        <v>263</v>
      </c>
      <c r="D18" s="3">
        <v>6.79</v>
      </c>
      <c r="E18" s="3">
        <v>49</v>
      </c>
      <c r="G18">
        <f t="shared" si="0"/>
        <v>7.56</v>
      </c>
      <c r="H18" s="7">
        <f t="shared" si="1"/>
        <v>0.15428571428571428</v>
      </c>
      <c r="J18">
        <f t="shared" si="2"/>
        <v>68</v>
      </c>
      <c r="K18" s="8"/>
      <c r="L18" s="8">
        <f t="shared" si="3"/>
        <v>68</v>
      </c>
      <c r="M18">
        <f t="shared" si="4"/>
        <v>17.009999999999998</v>
      </c>
      <c r="N18" s="7">
        <f t="shared" si="5"/>
        <v>0.25014705882352939</v>
      </c>
      <c r="P18">
        <f t="shared" si="6"/>
        <v>52</v>
      </c>
      <c r="Q18">
        <f t="shared" si="7"/>
        <v>55</v>
      </c>
      <c r="R18">
        <f t="shared" si="8"/>
        <v>58</v>
      </c>
    </row>
    <row r="19" spans="1:18" x14ac:dyDescent="0.35">
      <c r="A19" s="2">
        <v>18</v>
      </c>
      <c r="B19" s="2" t="s">
        <v>262</v>
      </c>
      <c r="C19" s="2" t="s">
        <v>264</v>
      </c>
      <c r="D19" s="3">
        <v>7.67</v>
      </c>
      <c r="E19" s="3">
        <v>59</v>
      </c>
      <c r="G19">
        <f t="shared" si="0"/>
        <v>10.179999999999998</v>
      </c>
      <c r="H19" s="7">
        <f t="shared" si="1"/>
        <v>0.1725423728813559</v>
      </c>
      <c r="J19">
        <f t="shared" si="2"/>
        <v>70</v>
      </c>
      <c r="K19" s="8"/>
      <c r="L19" s="8">
        <f t="shared" si="3"/>
        <v>70</v>
      </c>
      <c r="M19">
        <f t="shared" si="4"/>
        <v>17.53</v>
      </c>
      <c r="N19" s="7">
        <f t="shared" si="5"/>
        <v>0.25042857142857144</v>
      </c>
      <c r="P19">
        <f t="shared" si="6"/>
        <v>62</v>
      </c>
      <c r="Q19">
        <f t="shared" si="7"/>
        <v>65</v>
      </c>
      <c r="R19">
        <f t="shared" si="8"/>
        <v>68</v>
      </c>
    </row>
    <row r="20" spans="1:18" x14ac:dyDescent="0.35">
      <c r="A20" s="2">
        <v>19</v>
      </c>
      <c r="B20" s="2" t="s">
        <v>262</v>
      </c>
      <c r="C20" s="2" t="s">
        <v>265</v>
      </c>
      <c r="D20" s="3">
        <v>5.79</v>
      </c>
      <c r="E20" s="3">
        <v>59</v>
      </c>
      <c r="G20">
        <f t="shared" si="0"/>
        <v>12.059999999999999</v>
      </c>
      <c r="H20" s="7">
        <f t="shared" si="1"/>
        <v>0.20440677966101692</v>
      </c>
      <c r="J20">
        <f t="shared" si="2"/>
        <v>66</v>
      </c>
      <c r="K20" s="8"/>
      <c r="L20" s="8">
        <f t="shared" si="3"/>
        <v>66</v>
      </c>
      <c r="M20">
        <f t="shared" si="4"/>
        <v>16.61</v>
      </c>
      <c r="N20" s="7">
        <f t="shared" si="5"/>
        <v>0.25166666666666665</v>
      </c>
      <c r="P20">
        <f t="shared" si="6"/>
        <v>62</v>
      </c>
      <c r="Q20">
        <f t="shared" si="7"/>
        <v>65</v>
      </c>
      <c r="R20">
        <f t="shared" si="8"/>
        <v>66</v>
      </c>
    </row>
    <row r="21" spans="1:18" x14ac:dyDescent="0.35">
      <c r="A21" s="2">
        <v>20</v>
      </c>
      <c r="B21" s="2" t="s">
        <v>262</v>
      </c>
      <c r="C21" s="2" t="s">
        <v>266</v>
      </c>
      <c r="D21" s="3">
        <v>7.77</v>
      </c>
      <c r="E21" s="3">
        <v>62</v>
      </c>
      <c r="G21">
        <f t="shared" si="0"/>
        <v>11.829999999999998</v>
      </c>
      <c r="H21" s="7">
        <f t="shared" si="1"/>
        <v>0.19080645161290319</v>
      </c>
      <c r="J21">
        <f t="shared" si="2"/>
        <v>70</v>
      </c>
      <c r="K21" s="8"/>
      <c r="L21" s="8">
        <f t="shared" si="3"/>
        <v>70</v>
      </c>
      <c r="M21">
        <f t="shared" si="4"/>
        <v>17.43</v>
      </c>
      <c r="N21" s="7">
        <f t="shared" si="5"/>
        <v>0.249</v>
      </c>
      <c r="P21">
        <f t="shared" si="6"/>
        <v>65</v>
      </c>
      <c r="Q21">
        <f t="shared" si="7"/>
        <v>68</v>
      </c>
      <c r="R21">
        <f t="shared" si="8"/>
        <v>70</v>
      </c>
    </row>
    <row r="22" spans="1:18" x14ac:dyDescent="0.35">
      <c r="A22" s="2">
        <v>21</v>
      </c>
      <c r="B22" s="2" t="s">
        <v>262</v>
      </c>
      <c r="C22" s="2" t="s">
        <v>267</v>
      </c>
      <c r="D22" s="3">
        <v>8.98</v>
      </c>
      <c r="E22" s="3">
        <v>66</v>
      </c>
      <c r="G22">
        <f t="shared" si="0"/>
        <v>13.419999999999998</v>
      </c>
      <c r="H22" s="7">
        <f t="shared" si="1"/>
        <v>0.20333333333333331</v>
      </c>
      <c r="J22">
        <f t="shared" si="2"/>
        <v>73</v>
      </c>
      <c r="K22" s="8"/>
      <c r="L22" s="8">
        <f t="shared" si="3"/>
        <v>73</v>
      </c>
      <c r="M22">
        <f t="shared" si="4"/>
        <v>18.319999999999997</v>
      </c>
      <c r="N22" s="7">
        <f t="shared" si="5"/>
        <v>0.25095890410958899</v>
      </c>
      <c r="P22">
        <f t="shared" si="6"/>
        <v>69</v>
      </c>
      <c r="Q22">
        <f t="shared" si="7"/>
        <v>72</v>
      </c>
      <c r="R22">
        <f t="shared" si="8"/>
        <v>73</v>
      </c>
    </row>
    <row r="23" spans="1:18" x14ac:dyDescent="0.35">
      <c r="A23" s="2">
        <v>22</v>
      </c>
      <c r="B23" s="2" t="s">
        <v>262</v>
      </c>
      <c r="C23" s="2" t="s">
        <v>268</v>
      </c>
      <c r="D23" s="3">
        <v>9.52</v>
      </c>
      <c r="E23" s="3">
        <v>78</v>
      </c>
      <c r="G23">
        <f t="shared" si="0"/>
        <v>21.279999999999998</v>
      </c>
      <c r="H23" s="7">
        <f t="shared" si="1"/>
        <v>0.27282051282051278</v>
      </c>
      <c r="J23">
        <f t="shared" si="2"/>
        <v>74</v>
      </c>
      <c r="K23" s="8"/>
      <c r="L23" s="8">
        <f t="shared" si="3"/>
        <v>78</v>
      </c>
      <c r="M23">
        <f t="shared" si="4"/>
        <v>21.279999999999998</v>
      </c>
      <c r="N23" s="7">
        <f t="shared" si="5"/>
        <v>0.27282051282051278</v>
      </c>
      <c r="P23">
        <f t="shared" si="6"/>
        <v>78</v>
      </c>
      <c r="Q23">
        <f t="shared" si="7"/>
        <v>78</v>
      </c>
      <c r="R23">
        <f t="shared" si="8"/>
        <v>78</v>
      </c>
    </row>
    <row r="24" spans="1:18" x14ac:dyDescent="0.35">
      <c r="A24" s="2">
        <v>23</v>
      </c>
      <c r="B24" s="2" t="s">
        <v>262</v>
      </c>
      <c r="C24" s="2" t="s">
        <v>269</v>
      </c>
      <c r="D24" s="3">
        <v>11.57</v>
      </c>
      <c r="E24" s="3">
        <v>69</v>
      </c>
      <c r="G24">
        <f t="shared" si="0"/>
        <v>12.93</v>
      </c>
      <c r="H24" s="7">
        <f t="shared" si="1"/>
        <v>0.18739130434782608</v>
      </c>
      <c r="J24">
        <f t="shared" si="2"/>
        <v>79</v>
      </c>
      <c r="K24" s="8"/>
      <c r="L24" s="8">
        <f t="shared" si="3"/>
        <v>79</v>
      </c>
      <c r="M24">
        <f t="shared" si="4"/>
        <v>19.929999999999996</v>
      </c>
      <c r="N24" s="7">
        <f t="shared" si="5"/>
        <v>0.25227848101265821</v>
      </c>
      <c r="P24">
        <f t="shared" si="6"/>
        <v>72</v>
      </c>
      <c r="Q24">
        <f t="shared" si="7"/>
        <v>75</v>
      </c>
      <c r="R24">
        <f t="shared" si="8"/>
        <v>78</v>
      </c>
    </row>
    <row r="25" spans="1:18" x14ac:dyDescent="0.35">
      <c r="A25" s="2">
        <v>24</v>
      </c>
      <c r="B25" s="2" t="s">
        <v>270</v>
      </c>
      <c r="C25" s="2" t="s">
        <v>271</v>
      </c>
      <c r="D25" s="3">
        <v>6.94</v>
      </c>
      <c r="E25" s="3">
        <v>49</v>
      </c>
      <c r="G25">
        <f t="shared" si="0"/>
        <v>7.4099999999999993</v>
      </c>
      <c r="H25" s="7">
        <f t="shared" si="1"/>
        <v>0.15122448979591835</v>
      </c>
      <c r="J25">
        <f t="shared" si="2"/>
        <v>68</v>
      </c>
      <c r="K25" s="8"/>
      <c r="L25" s="8">
        <f t="shared" si="3"/>
        <v>68</v>
      </c>
      <c r="M25">
        <f t="shared" si="4"/>
        <v>16.859999999999996</v>
      </c>
      <c r="N25" s="7">
        <f t="shared" si="5"/>
        <v>0.24794117647058816</v>
      </c>
      <c r="P25">
        <f t="shared" si="6"/>
        <v>52</v>
      </c>
      <c r="Q25">
        <f t="shared" si="7"/>
        <v>55</v>
      </c>
      <c r="R25">
        <f t="shared" si="8"/>
        <v>58</v>
      </c>
    </row>
    <row r="26" spans="1:18" x14ac:dyDescent="0.35">
      <c r="A26" s="2">
        <v>25</v>
      </c>
      <c r="B26" s="2" t="s">
        <v>270</v>
      </c>
      <c r="C26" s="2" t="s">
        <v>272</v>
      </c>
      <c r="D26" s="3">
        <v>7.44</v>
      </c>
      <c r="E26" s="3">
        <v>59</v>
      </c>
      <c r="G26">
        <f t="shared" si="0"/>
        <v>10.409999999999997</v>
      </c>
      <c r="H26" s="7">
        <f t="shared" si="1"/>
        <v>0.17644067796610163</v>
      </c>
      <c r="J26">
        <f t="shared" si="2"/>
        <v>69</v>
      </c>
      <c r="K26" s="8"/>
      <c r="L26" s="8">
        <f t="shared" si="3"/>
        <v>69</v>
      </c>
      <c r="M26">
        <f t="shared" si="4"/>
        <v>17.059999999999999</v>
      </c>
      <c r="N26" s="7">
        <f t="shared" si="5"/>
        <v>0.24724637681159417</v>
      </c>
      <c r="P26">
        <f t="shared" si="6"/>
        <v>62</v>
      </c>
      <c r="Q26">
        <f t="shared" si="7"/>
        <v>65</v>
      </c>
      <c r="R26">
        <f t="shared" si="8"/>
        <v>68</v>
      </c>
    </row>
    <row r="27" spans="1:18" x14ac:dyDescent="0.35">
      <c r="A27" s="2">
        <v>26</v>
      </c>
      <c r="B27" s="2" t="s">
        <v>270</v>
      </c>
      <c r="C27" s="2" t="s">
        <v>273</v>
      </c>
      <c r="D27" s="3">
        <v>8.75</v>
      </c>
      <c r="E27" s="3">
        <v>65</v>
      </c>
      <c r="G27">
        <f t="shared" si="0"/>
        <v>12.95</v>
      </c>
      <c r="H27" s="7">
        <f t="shared" si="1"/>
        <v>0.19923076923076921</v>
      </c>
      <c r="J27">
        <f t="shared" si="2"/>
        <v>72</v>
      </c>
      <c r="K27" s="8"/>
      <c r="L27" s="8">
        <f t="shared" si="3"/>
        <v>72</v>
      </c>
      <c r="M27">
        <f t="shared" si="4"/>
        <v>17.849999999999998</v>
      </c>
      <c r="N27" s="7">
        <f t="shared" si="5"/>
        <v>0.24791666666666665</v>
      </c>
      <c r="P27">
        <f t="shared" si="6"/>
        <v>68</v>
      </c>
      <c r="Q27">
        <f t="shared" si="7"/>
        <v>71</v>
      </c>
      <c r="R27">
        <f t="shared" si="8"/>
        <v>72</v>
      </c>
    </row>
    <row r="28" spans="1:18" x14ac:dyDescent="0.35">
      <c r="A28" s="2">
        <v>27</v>
      </c>
      <c r="B28" s="2" t="s">
        <v>270</v>
      </c>
      <c r="C28" s="2" t="s">
        <v>274</v>
      </c>
      <c r="D28" s="3">
        <v>9.2899999999999991</v>
      </c>
      <c r="E28" s="3">
        <v>78</v>
      </c>
      <c r="G28">
        <f t="shared" si="0"/>
        <v>21.509999999999998</v>
      </c>
      <c r="H28" s="7">
        <f t="shared" si="1"/>
        <v>0.27576923076923077</v>
      </c>
      <c r="J28">
        <f t="shared" si="2"/>
        <v>74</v>
      </c>
      <c r="K28" s="8"/>
      <c r="L28" s="8">
        <f t="shared" si="3"/>
        <v>78</v>
      </c>
      <c r="M28">
        <f t="shared" si="4"/>
        <v>21.509999999999998</v>
      </c>
      <c r="N28" s="7">
        <f t="shared" si="5"/>
        <v>0.27576923076923077</v>
      </c>
      <c r="P28">
        <f t="shared" si="6"/>
        <v>78</v>
      </c>
      <c r="Q28">
        <f t="shared" si="7"/>
        <v>78</v>
      </c>
      <c r="R28">
        <f t="shared" si="8"/>
        <v>78</v>
      </c>
    </row>
    <row r="29" spans="1:18" x14ac:dyDescent="0.35">
      <c r="A29" s="2">
        <v>28</v>
      </c>
      <c r="B29" s="2" t="s">
        <v>270</v>
      </c>
      <c r="C29" s="2" t="s">
        <v>275</v>
      </c>
      <c r="D29" s="3">
        <v>11.34</v>
      </c>
      <c r="E29" s="3">
        <v>69</v>
      </c>
      <c r="G29">
        <f t="shared" si="0"/>
        <v>13.16</v>
      </c>
      <c r="H29" s="7">
        <f t="shared" si="1"/>
        <v>0.19072463768115941</v>
      </c>
      <c r="J29">
        <f t="shared" si="2"/>
        <v>78</v>
      </c>
      <c r="K29" s="8"/>
      <c r="L29" s="8">
        <f t="shared" si="3"/>
        <v>78</v>
      </c>
      <c r="M29">
        <f t="shared" si="4"/>
        <v>19.459999999999997</v>
      </c>
      <c r="N29" s="7">
        <f t="shared" si="5"/>
        <v>0.24948717948717944</v>
      </c>
      <c r="P29">
        <f t="shared" si="6"/>
        <v>72</v>
      </c>
      <c r="Q29">
        <f t="shared" si="7"/>
        <v>75</v>
      </c>
      <c r="R29">
        <f t="shared" si="8"/>
        <v>78</v>
      </c>
    </row>
    <row r="30" spans="1:18" x14ac:dyDescent="0.35">
      <c r="A30" s="2">
        <v>29</v>
      </c>
      <c r="B30" s="2" t="s">
        <v>276</v>
      </c>
      <c r="C30" s="2" t="s">
        <v>277</v>
      </c>
      <c r="D30" s="3">
        <v>6.82</v>
      </c>
      <c r="E30" s="3">
        <v>49</v>
      </c>
      <c r="G30">
        <f t="shared" si="0"/>
        <v>7.5299999999999994</v>
      </c>
      <c r="H30" s="7">
        <f t="shared" si="1"/>
        <v>0.15367346938775509</v>
      </c>
      <c r="J30">
        <f t="shared" si="2"/>
        <v>68</v>
      </c>
      <c r="K30" s="8"/>
      <c r="L30" s="8">
        <f t="shared" si="3"/>
        <v>68</v>
      </c>
      <c r="M30">
        <f t="shared" si="4"/>
        <v>16.979999999999997</v>
      </c>
      <c r="N30" s="7">
        <f t="shared" si="5"/>
        <v>0.24970588235294114</v>
      </c>
      <c r="P30">
        <f t="shared" si="6"/>
        <v>52</v>
      </c>
      <c r="Q30">
        <f t="shared" si="7"/>
        <v>55</v>
      </c>
      <c r="R30">
        <f t="shared" si="8"/>
        <v>58</v>
      </c>
    </row>
    <row r="31" spans="1:18" x14ac:dyDescent="0.35">
      <c r="A31" s="2">
        <v>30</v>
      </c>
      <c r="B31" s="2" t="s">
        <v>276</v>
      </c>
      <c r="C31" s="2" t="s">
        <v>278</v>
      </c>
      <c r="D31" s="3">
        <v>7.7</v>
      </c>
      <c r="E31" s="3">
        <v>59</v>
      </c>
      <c r="G31">
        <f t="shared" si="0"/>
        <v>10.149999999999999</v>
      </c>
      <c r="H31" s="7">
        <f t="shared" si="1"/>
        <v>0.17203389830508473</v>
      </c>
      <c r="J31">
        <f t="shared" si="2"/>
        <v>70</v>
      </c>
      <c r="K31" s="8"/>
      <c r="L31" s="8">
        <f t="shared" si="3"/>
        <v>70</v>
      </c>
      <c r="M31">
        <f t="shared" si="4"/>
        <v>17.5</v>
      </c>
      <c r="N31" s="7">
        <f t="shared" si="5"/>
        <v>0.25</v>
      </c>
      <c r="P31">
        <f t="shared" si="6"/>
        <v>62</v>
      </c>
      <c r="Q31">
        <f t="shared" si="7"/>
        <v>65</v>
      </c>
      <c r="R31">
        <f t="shared" si="8"/>
        <v>68</v>
      </c>
    </row>
    <row r="32" spans="1:18" x14ac:dyDescent="0.35">
      <c r="A32" s="2">
        <v>31</v>
      </c>
      <c r="B32" s="2" t="s">
        <v>276</v>
      </c>
      <c r="C32" s="2" t="s">
        <v>279</v>
      </c>
      <c r="D32" s="3">
        <v>5.65</v>
      </c>
      <c r="E32" s="3">
        <v>59</v>
      </c>
      <c r="G32">
        <f t="shared" si="0"/>
        <v>12.199999999999998</v>
      </c>
      <c r="H32" s="7">
        <f t="shared" si="1"/>
        <v>0.20677966101694911</v>
      </c>
      <c r="J32">
        <f t="shared" si="2"/>
        <v>65</v>
      </c>
      <c r="K32" s="8"/>
      <c r="L32" s="8">
        <f t="shared" si="3"/>
        <v>65</v>
      </c>
      <c r="M32">
        <f t="shared" si="4"/>
        <v>16.049999999999997</v>
      </c>
      <c r="N32" s="7">
        <f t="shared" si="5"/>
        <v>0.24692307692307688</v>
      </c>
      <c r="P32">
        <f t="shared" si="6"/>
        <v>62</v>
      </c>
      <c r="Q32">
        <f t="shared" si="7"/>
        <v>65</v>
      </c>
      <c r="R32">
        <f t="shared" si="8"/>
        <v>65</v>
      </c>
    </row>
    <row r="33" spans="1:18" x14ac:dyDescent="0.35">
      <c r="A33" s="2">
        <v>32</v>
      </c>
      <c r="B33" s="2" t="s">
        <v>276</v>
      </c>
      <c r="C33" s="2" t="s">
        <v>280</v>
      </c>
      <c r="D33" s="3">
        <v>8.59</v>
      </c>
      <c r="E33" s="3">
        <v>67</v>
      </c>
      <c r="G33">
        <f t="shared" si="0"/>
        <v>14.509999999999998</v>
      </c>
      <c r="H33" s="7">
        <f t="shared" si="1"/>
        <v>0.21656716417910446</v>
      </c>
      <c r="J33">
        <f t="shared" si="2"/>
        <v>72</v>
      </c>
      <c r="K33" s="8"/>
      <c r="L33" s="8">
        <f t="shared" si="3"/>
        <v>72</v>
      </c>
      <c r="M33">
        <f t="shared" si="4"/>
        <v>18.009999999999998</v>
      </c>
      <c r="N33" s="7">
        <f t="shared" si="5"/>
        <v>0.25013888888888886</v>
      </c>
      <c r="P33">
        <f t="shared" si="6"/>
        <v>70</v>
      </c>
      <c r="Q33">
        <f t="shared" si="7"/>
        <v>72</v>
      </c>
      <c r="R33">
        <f t="shared" si="8"/>
        <v>72</v>
      </c>
    </row>
    <row r="34" spans="1:18" x14ac:dyDescent="0.35">
      <c r="A34" s="2">
        <v>33</v>
      </c>
      <c r="B34" s="2" t="s">
        <v>276</v>
      </c>
      <c r="C34" s="2" t="s">
        <v>281</v>
      </c>
      <c r="D34" s="3">
        <v>9.1300000000000008</v>
      </c>
      <c r="E34" s="3">
        <v>78</v>
      </c>
      <c r="G34">
        <f t="shared" ref="G34:G65" si="9">IFERROR(((E34-MIN(E34/2,30)-4)*0.7)-$D34,0)</f>
        <v>21.669999999999995</v>
      </c>
      <c r="H34" s="7">
        <f t="shared" ref="H34:H65" si="10">G34/E34</f>
        <v>0.27782051282051273</v>
      </c>
      <c r="J34">
        <f t="shared" ref="J34:J62" si="11">ROUND(IF(D34&lt;=3.2,28+10*(D34),(23.8+D34)/0.45),0)</f>
        <v>73</v>
      </c>
      <c r="K34" s="8"/>
      <c r="L34" s="8">
        <f t="shared" ref="L34:L65" si="12">MAX(J34,E34)</f>
        <v>78</v>
      </c>
      <c r="M34">
        <f t="shared" ref="M34:M65" si="13">((L34-(MIN(L34/2,30))-4)*0.7)-D34</f>
        <v>21.669999999999995</v>
      </c>
      <c r="N34" s="7">
        <f t="shared" ref="N34:N65" si="14">M34/L34</f>
        <v>0.27782051282051273</v>
      </c>
      <c r="P34">
        <f t="shared" ref="P34:P65" si="15">IF(L34&gt;E34,IF(E34+3&lt;=L34,E34+3,L34),E34)</f>
        <v>78</v>
      </c>
      <c r="Q34">
        <f t="shared" ref="Q34:Q65" si="16">IF(P34&lt;$L34,IF(P34+3&lt;=L34,P34+3,L34),P34)</f>
        <v>78</v>
      </c>
      <c r="R34">
        <f t="shared" ref="R34:R65" si="17">IF(Q34&lt;$L34,IF(Q34+3&lt;=L34,Q34+3,L34),Q34)</f>
        <v>78</v>
      </c>
    </row>
    <row r="35" spans="1:18" x14ac:dyDescent="0.35">
      <c r="A35" s="2">
        <v>34</v>
      </c>
      <c r="B35" s="2" t="s">
        <v>282</v>
      </c>
      <c r="C35" s="2" t="s">
        <v>283</v>
      </c>
      <c r="D35" s="3">
        <v>6.23</v>
      </c>
      <c r="E35" s="2"/>
      <c r="G35">
        <f t="shared" si="9"/>
        <v>-9.0300000000000011</v>
      </c>
      <c r="H35" s="7" t="e">
        <f t="shared" si="10"/>
        <v>#DIV/0!</v>
      </c>
      <c r="J35">
        <f t="shared" si="11"/>
        <v>67</v>
      </c>
      <c r="K35" s="8"/>
      <c r="L35" s="8">
        <f t="shared" si="12"/>
        <v>67</v>
      </c>
      <c r="M35">
        <f t="shared" si="13"/>
        <v>16.869999999999997</v>
      </c>
      <c r="N35" s="7">
        <f t="shared" si="14"/>
        <v>0.25179104477611935</v>
      </c>
      <c r="P35">
        <f t="shared" si="15"/>
        <v>3</v>
      </c>
      <c r="Q35">
        <f t="shared" si="16"/>
        <v>6</v>
      </c>
      <c r="R35">
        <f t="shared" si="17"/>
        <v>9</v>
      </c>
    </row>
    <row r="36" spans="1:18" x14ac:dyDescent="0.35">
      <c r="A36" s="2">
        <v>35</v>
      </c>
      <c r="B36" s="2" t="s">
        <v>282</v>
      </c>
      <c r="C36" s="2" t="s">
        <v>284</v>
      </c>
      <c r="D36" s="3">
        <v>7.2</v>
      </c>
      <c r="E36" s="2"/>
      <c r="G36">
        <f t="shared" si="9"/>
        <v>-10</v>
      </c>
      <c r="H36" s="7" t="e">
        <f t="shared" si="10"/>
        <v>#DIV/0!</v>
      </c>
      <c r="J36">
        <f t="shared" si="11"/>
        <v>69</v>
      </c>
      <c r="K36" s="8"/>
      <c r="L36" s="8">
        <f t="shared" si="12"/>
        <v>69</v>
      </c>
      <c r="M36">
        <f t="shared" si="13"/>
        <v>17.3</v>
      </c>
      <c r="N36" s="7">
        <f t="shared" si="14"/>
        <v>0.25072463768115943</v>
      </c>
      <c r="P36">
        <f t="shared" si="15"/>
        <v>3</v>
      </c>
      <c r="Q36">
        <f t="shared" si="16"/>
        <v>6</v>
      </c>
      <c r="R36">
        <f t="shared" si="17"/>
        <v>9</v>
      </c>
    </row>
    <row r="37" spans="1:18" x14ac:dyDescent="0.35">
      <c r="A37" s="2">
        <v>36</v>
      </c>
      <c r="B37" s="2" t="s">
        <v>282</v>
      </c>
      <c r="C37" s="2" t="s">
        <v>285</v>
      </c>
      <c r="D37" s="3">
        <v>8.89</v>
      </c>
      <c r="E37" s="2"/>
      <c r="G37">
        <f t="shared" si="9"/>
        <v>-11.690000000000001</v>
      </c>
      <c r="H37" s="7" t="e">
        <f t="shared" si="10"/>
        <v>#DIV/0!</v>
      </c>
      <c r="J37">
        <f t="shared" si="11"/>
        <v>73</v>
      </c>
      <c r="K37" s="8"/>
      <c r="L37" s="8">
        <f t="shared" si="12"/>
        <v>73</v>
      </c>
      <c r="M37">
        <f t="shared" si="13"/>
        <v>18.409999999999997</v>
      </c>
      <c r="N37" s="7">
        <f t="shared" si="14"/>
        <v>0.25219178082191779</v>
      </c>
      <c r="P37">
        <f t="shared" si="15"/>
        <v>3</v>
      </c>
      <c r="Q37">
        <f t="shared" si="16"/>
        <v>6</v>
      </c>
      <c r="R37">
        <f t="shared" si="17"/>
        <v>9</v>
      </c>
    </row>
    <row r="38" spans="1:18" x14ac:dyDescent="0.35">
      <c r="A38" s="2">
        <v>37</v>
      </c>
      <c r="B38" s="2" t="s">
        <v>282</v>
      </c>
      <c r="C38" s="2" t="s">
        <v>286</v>
      </c>
      <c r="D38" s="3">
        <v>11.36</v>
      </c>
      <c r="E38" s="2"/>
      <c r="G38">
        <f t="shared" si="9"/>
        <v>-14.16</v>
      </c>
      <c r="H38" s="7" t="e">
        <f t="shared" si="10"/>
        <v>#DIV/0!</v>
      </c>
      <c r="J38">
        <f t="shared" si="11"/>
        <v>78</v>
      </c>
      <c r="K38" s="8"/>
      <c r="L38" s="8">
        <f t="shared" si="12"/>
        <v>78</v>
      </c>
      <c r="M38">
        <f t="shared" si="13"/>
        <v>19.439999999999998</v>
      </c>
      <c r="N38" s="7">
        <f t="shared" si="14"/>
        <v>0.2492307692307692</v>
      </c>
      <c r="P38">
        <f t="shared" si="15"/>
        <v>3</v>
      </c>
      <c r="Q38">
        <f t="shared" si="16"/>
        <v>6</v>
      </c>
      <c r="R38">
        <f t="shared" si="17"/>
        <v>9</v>
      </c>
    </row>
    <row r="39" spans="1:18" x14ac:dyDescent="0.35">
      <c r="A39" s="2">
        <v>38</v>
      </c>
      <c r="B39" s="2" t="s">
        <v>287</v>
      </c>
      <c r="C39" s="2" t="s">
        <v>288</v>
      </c>
      <c r="D39" s="3">
        <v>6.29</v>
      </c>
      <c r="E39" s="3">
        <v>48</v>
      </c>
      <c r="G39">
        <f t="shared" si="9"/>
        <v>7.71</v>
      </c>
      <c r="H39" s="7">
        <f t="shared" si="10"/>
        <v>0.16062499999999999</v>
      </c>
      <c r="J39">
        <f t="shared" si="11"/>
        <v>67</v>
      </c>
      <c r="K39" s="8"/>
      <c r="L39" s="8">
        <f t="shared" si="12"/>
        <v>67</v>
      </c>
      <c r="M39">
        <f t="shared" si="13"/>
        <v>16.809999999999999</v>
      </c>
      <c r="N39" s="7">
        <f t="shared" si="14"/>
        <v>0.25089552238805968</v>
      </c>
      <c r="P39">
        <f t="shared" si="15"/>
        <v>51</v>
      </c>
      <c r="Q39">
        <f t="shared" si="16"/>
        <v>54</v>
      </c>
      <c r="R39">
        <f t="shared" si="17"/>
        <v>57</v>
      </c>
    </row>
    <row r="40" spans="1:18" x14ac:dyDescent="0.35">
      <c r="A40" s="2">
        <v>39</v>
      </c>
      <c r="B40" s="2" t="s">
        <v>287</v>
      </c>
      <c r="C40" s="2" t="s">
        <v>289</v>
      </c>
      <c r="D40" s="3">
        <v>7.47</v>
      </c>
      <c r="E40" s="3">
        <v>59</v>
      </c>
      <c r="G40">
        <f t="shared" si="9"/>
        <v>10.379999999999999</v>
      </c>
      <c r="H40" s="7">
        <f t="shared" si="10"/>
        <v>0.17593220338983048</v>
      </c>
      <c r="J40">
        <f t="shared" si="11"/>
        <v>69</v>
      </c>
      <c r="K40" s="8"/>
      <c r="L40" s="8">
        <f t="shared" si="12"/>
        <v>69</v>
      </c>
      <c r="M40">
        <f t="shared" si="13"/>
        <v>17.03</v>
      </c>
      <c r="N40" s="7">
        <f t="shared" si="14"/>
        <v>0.24681159420289855</v>
      </c>
      <c r="P40">
        <f t="shared" si="15"/>
        <v>62</v>
      </c>
      <c r="Q40">
        <f t="shared" si="16"/>
        <v>65</v>
      </c>
      <c r="R40">
        <f t="shared" si="17"/>
        <v>68</v>
      </c>
    </row>
    <row r="41" spans="1:18" x14ac:dyDescent="0.35">
      <c r="A41" s="2">
        <v>40</v>
      </c>
      <c r="B41" s="2" t="s">
        <v>287</v>
      </c>
      <c r="C41" s="2" t="s">
        <v>290</v>
      </c>
      <c r="D41" s="3">
        <v>9.17</v>
      </c>
      <c r="E41" s="3">
        <v>78</v>
      </c>
      <c r="G41">
        <f t="shared" si="9"/>
        <v>21.629999999999995</v>
      </c>
      <c r="H41" s="7">
        <f t="shared" si="10"/>
        <v>0.27730769230769226</v>
      </c>
      <c r="J41">
        <f t="shared" si="11"/>
        <v>73</v>
      </c>
      <c r="K41" s="8"/>
      <c r="L41" s="8">
        <f t="shared" si="12"/>
        <v>78</v>
      </c>
      <c r="M41">
        <f t="shared" si="13"/>
        <v>21.629999999999995</v>
      </c>
      <c r="N41" s="7">
        <f t="shared" si="14"/>
        <v>0.27730769230769226</v>
      </c>
      <c r="P41">
        <f t="shared" si="15"/>
        <v>78</v>
      </c>
      <c r="Q41">
        <f t="shared" si="16"/>
        <v>78</v>
      </c>
      <c r="R41">
        <f t="shared" si="17"/>
        <v>78</v>
      </c>
    </row>
    <row r="42" spans="1:18" x14ac:dyDescent="0.35">
      <c r="A42" s="2">
        <v>41</v>
      </c>
      <c r="B42" s="2" t="s">
        <v>287</v>
      </c>
      <c r="C42" s="2" t="s">
        <v>291</v>
      </c>
      <c r="D42" s="3">
        <v>8.8699999999999992</v>
      </c>
      <c r="E42" s="3">
        <v>66</v>
      </c>
      <c r="G42">
        <f t="shared" si="9"/>
        <v>13.53</v>
      </c>
      <c r="H42" s="7">
        <f t="shared" si="10"/>
        <v>0.20499999999999999</v>
      </c>
      <c r="J42">
        <f t="shared" si="11"/>
        <v>73</v>
      </c>
      <c r="K42" s="8"/>
      <c r="L42" s="8">
        <f t="shared" si="12"/>
        <v>73</v>
      </c>
      <c r="M42">
        <f t="shared" si="13"/>
        <v>18.43</v>
      </c>
      <c r="N42" s="7">
        <f t="shared" si="14"/>
        <v>0.25246575342465755</v>
      </c>
      <c r="P42">
        <f t="shared" si="15"/>
        <v>69</v>
      </c>
      <c r="Q42">
        <f t="shared" si="16"/>
        <v>72</v>
      </c>
      <c r="R42">
        <f t="shared" si="17"/>
        <v>73</v>
      </c>
    </row>
    <row r="43" spans="1:18" x14ac:dyDescent="0.35">
      <c r="A43" s="2">
        <v>42</v>
      </c>
      <c r="B43" s="2" t="s">
        <v>292</v>
      </c>
      <c r="C43" s="2" t="s">
        <v>293</v>
      </c>
      <c r="D43" s="3">
        <v>6.65</v>
      </c>
      <c r="E43" s="3">
        <v>49</v>
      </c>
      <c r="G43">
        <f t="shared" si="9"/>
        <v>7.6999999999999993</v>
      </c>
      <c r="H43" s="7">
        <f t="shared" si="10"/>
        <v>0.15714285714285714</v>
      </c>
      <c r="J43">
        <f t="shared" si="11"/>
        <v>68</v>
      </c>
      <c r="K43" s="8"/>
      <c r="L43" s="8">
        <f t="shared" si="12"/>
        <v>68</v>
      </c>
      <c r="M43">
        <f t="shared" si="13"/>
        <v>17.149999999999999</v>
      </c>
      <c r="N43" s="7">
        <f t="shared" si="14"/>
        <v>0.25220588235294117</v>
      </c>
      <c r="P43">
        <f t="shared" si="15"/>
        <v>52</v>
      </c>
      <c r="Q43">
        <f t="shared" si="16"/>
        <v>55</v>
      </c>
      <c r="R43">
        <f t="shared" si="17"/>
        <v>58</v>
      </c>
    </row>
    <row r="44" spans="1:18" x14ac:dyDescent="0.35">
      <c r="A44" s="2">
        <v>43</v>
      </c>
      <c r="B44" s="2" t="s">
        <v>292</v>
      </c>
      <c r="C44" s="2" t="s">
        <v>294</v>
      </c>
      <c r="D44" s="3">
        <v>8.15</v>
      </c>
      <c r="E44" s="3">
        <v>59</v>
      </c>
      <c r="G44">
        <f t="shared" si="9"/>
        <v>9.6999999999999975</v>
      </c>
      <c r="H44" s="7">
        <f t="shared" si="10"/>
        <v>0.16440677966101691</v>
      </c>
      <c r="J44">
        <f t="shared" si="11"/>
        <v>71</v>
      </c>
      <c r="K44" s="8"/>
      <c r="L44" s="8">
        <f t="shared" si="12"/>
        <v>71</v>
      </c>
      <c r="M44">
        <f t="shared" si="13"/>
        <v>17.75</v>
      </c>
      <c r="N44" s="7">
        <f t="shared" si="14"/>
        <v>0.25</v>
      </c>
      <c r="P44">
        <f t="shared" si="15"/>
        <v>62</v>
      </c>
      <c r="Q44">
        <f t="shared" si="16"/>
        <v>65</v>
      </c>
      <c r="R44">
        <f t="shared" si="17"/>
        <v>68</v>
      </c>
    </row>
    <row r="45" spans="1:18" x14ac:dyDescent="0.35">
      <c r="A45" s="2">
        <v>44</v>
      </c>
      <c r="B45" s="2" t="s">
        <v>292</v>
      </c>
      <c r="C45" s="2" t="s">
        <v>295</v>
      </c>
      <c r="D45" s="3">
        <v>9.4600000000000009</v>
      </c>
      <c r="E45" s="3">
        <v>66</v>
      </c>
      <c r="G45">
        <f t="shared" si="9"/>
        <v>12.939999999999998</v>
      </c>
      <c r="H45" s="7">
        <f t="shared" si="10"/>
        <v>0.19606060606060602</v>
      </c>
      <c r="J45">
        <f t="shared" si="11"/>
        <v>74</v>
      </c>
      <c r="K45" s="8"/>
      <c r="L45" s="8">
        <f t="shared" si="12"/>
        <v>74</v>
      </c>
      <c r="M45">
        <f t="shared" si="13"/>
        <v>18.54</v>
      </c>
      <c r="N45" s="7">
        <f t="shared" si="14"/>
        <v>0.25054054054054054</v>
      </c>
      <c r="P45">
        <f t="shared" si="15"/>
        <v>69</v>
      </c>
      <c r="Q45">
        <f t="shared" si="16"/>
        <v>72</v>
      </c>
      <c r="R45">
        <f t="shared" si="17"/>
        <v>74</v>
      </c>
    </row>
    <row r="46" spans="1:18" x14ac:dyDescent="0.35">
      <c r="A46" s="2">
        <v>45</v>
      </c>
      <c r="B46" s="2" t="s">
        <v>292</v>
      </c>
      <c r="C46" s="2" t="s">
        <v>296</v>
      </c>
      <c r="D46" s="3">
        <v>10</v>
      </c>
      <c r="E46" s="3">
        <v>78</v>
      </c>
      <c r="G46">
        <f t="shared" si="9"/>
        <v>20.799999999999997</v>
      </c>
      <c r="H46" s="7">
        <f t="shared" si="10"/>
        <v>0.26666666666666661</v>
      </c>
      <c r="J46">
        <f t="shared" si="11"/>
        <v>75</v>
      </c>
      <c r="K46" s="8"/>
      <c r="L46" s="8">
        <f t="shared" si="12"/>
        <v>78</v>
      </c>
      <c r="M46">
        <f t="shared" si="13"/>
        <v>20.799999999999997</v>
      </c>
      <c r="N46" s="7">
        <f t="shared" si="14"/>
        <v>0.26666666666666661</v>
      </c>
      <c r="P46">
        <f t="shared" si="15"/>
        <v>78</v>
      </c>
      <c r="Q46">
        <f t="shared" si="16"/>
        <v>78</v>
      </c>
      <c r="R46">
        <f t="shared" si="17"/>
        <v>78</v>
      </c>
    </row>
    <row r="47" spans="1:18" x14ac:dyDescent="0.35">
      <c r="A47" s="2">
        <v>46</v>
      </c>
      <c r="B47" s="2" t="s">
        <v>292</v>
      </c>
      <c r="C47" s="2" t="s">
        <v>297</v>
      </c>
      <c r="D47" s="3">
        <v>6.27</v>
      </c>
      <c r="E47" s="3">
        <v>59</v>
      </c>
      <c r="G47">
        <f t="shared" si="9"/>
        <v>11.579999999999998</v>
      </c>
      <c r="H47" s="7">
        <f t="shared" si="10"/>
        <v>0.19627118644067792</v>
      </c>
      <c r="J47">
        <f t="shared" si="11"/>
        <v>67</v>
      </c>
      <c r="K47" s="8"/>
      <c r="L47" s="8">
        <f t="shared" si="12"/>
        <v>67</v>
      </c>
      <c r="M47">
        <f t="shared" si="13"/>
        <v>16.829999999999998</v>
      </c>
      <c r="N47" s="7">
        <f t="shared" si="14"/>
        <v>0.25119402985074624</v>
      </c>
      <c r="P47">
        <f t="shared" si="15"/>
        <v>62</v>
      </c>
      <c r="Q47">
        <f t="shared" si="16"/>
        <v>65</v>
      </c>
      <c r="R47">
        <f t="shared" si="17"/>
        <v>67</v>
      </c>
    </row>
    <row r="48" spans="1:18" x14ac:dyDescent="0.35">
      <c r="A48" s="2">
        <v>47</v>
      </c>
      <c r="B48" s="2" t="s">
        <v>298</v>
      </c>
      <c r="C48" s="2" t="s">
        <v>299</v>
      </c>
      <c r="D48" s="3">
        <v>7.63</v>
      </c>
      <c r="E48" s="3">
        <v>54</v>
      </c>
      <c r="G48">
        <f t="shared" si="9"/>
        <v>8.4699999999999989</v>
      </c>
      <c r="H48" s="7">
        <f t="shared" si="10"/>
        <v>0.15685185185185183</v>
      </c>
      <c r="J48">
        <f t="shared" si="11"/>
        <v>70</v>
      </c>
      <c r="K48" s="8"/>
      <c r="L48" s="8">
        <f t="shared" si="12"/>
        <v>70</v>
      </c>
      <c r="M48">
        <f t="shared" si="13"/>
        <v>17.57</v>
      </c>
      <c r="N48" s="7">
        <f t="shared" si="14"/>
        <v>0.251</v>
      </c>
      <c r="P48">
        <f t="shared" si="15"/>
        <v>57</v>
      </c>
      <c r="Q48">
        <f t="shared" si="16"/>
        <v>60</v>
      </c>
      <c r="R48">
        <f t="shared" si="17"/>
        <v>63</v>
      </c>
    </row>
    <row r="49" spans="1:18" x14ac:dyDescent="0.35">
      <c r="A49" s="2">
        <v>48</v>
      </c>
      <c r="B49" s="2" t="s">
        <v>298</v>
      </c>
      <c r="C49" s="2" t="s">
        <v>300</v>
      </c>
      <c r="D49" s="3">
        <v>9.43</v>
      </c>
      <c r="E49" s="3">
        <v>66</v>
      </c>
      <c r="G49">
        <f t="shared" si="9"/>
        <v>12.969999999999999</v>
      </c>
      <c r="H49" s="7">
        <f t="shared" si="10"/>
        <v>0.1965151515151515</v>
      </c>
      <c r="J49">
        <f t="shared" si="11"/>
        <v>74</v>
      </c>
      <c r="K49" s="8"/>
      <c r="L49" s="8">
        <f t="shared" si="12"/>
        <v>74</v>
      </c>
      <c r="M49">
        <f t="shared" si="13"/>
        <v>18.57</v>
      </c>
      <c r="N49" s="7">
        <f t="shared" si="14"/>
        <v>0.25094594594594594</v>
      </c>
      <c r="P49">
        <f t="shared" si="15"/>
        <v>69</v>
      </c>
      <c r="Q49">
        <f t="shared" si="16"/>
        <v>72</v>
      </c>
      <c r="R49">
        <f t="shared" si="17"/>
        <v>74</v>
      </c>
    </row>
    <row r="50" spans="1:18" x14ac:dyDescent="0.35">
      <c r="A50" s="2">
        <v>49</v>
      </c>
      <c r="B50" s="2" t="s">
        <v>298</v>
      </c>
      <c r="C50" s="2" t="s">
        <v>301</v>
      </c>
      <c r="D50" s="3">
        <v>10.91</v>
      </c>
      <c r="E50" s="3">
        <v>70</v>
      </c>
      <c r="G50">
        <f t="shared" si="9"/>
        <v>14.29</v>
      </c>
      <c r="H50" s="7">
        <f t="shared" si="10"/>
        <v>0.20414285714285713</v>
      </c>
      <c r="J50">
        <f t="shared" si="11"/>
        <v>77</v>
      </c>
      <c r="K50" s="8"/>
      <c r="L50" s="8">
        <f t="shared" si="12"/>
        <v>77</v>
      </c>
      <c r="M50">
        <f t="shared" si="13"/>
        <v>19.189999999999998</v>
      </c>
      <c r="N50" s="7">
        <f t="shared" si="14"/>
        <v>0.2492207792207792</v>
      </c>
      <c r="P50">
        <f t="shared" si="15"/>
        <v>73</v>
      </c>
      <c r="Q50">
        <f t="shared" si="16"/>
        <v>76</v>
      </c>
      <c r="R50">
        <f t="shared" si="17"/>
        <v>77</v>
      </c>
    </row>
    <row r="51" spans="1:18" x14ac:dyDescent="0.35">
      <c r="A51" s="2">
        <v>50</v>
      </c>
      <c r="B51" s="2" t="s">
        <v>298</v>
      </c>
      <c r="C51" s="2" t="s">
        <v>302</v>
      </c>
      <c r="D51" s="3">
        <v>10.97</v>
      </c>
      <c r="E51" s="3">
        <v>80</v>
      </c>
      <c r="G51">
        <f t="shared" si="9"/>
        <v>21.229999999999997</v>
      </c>
      <c r="H51" s="7">
        <f t="shared" si="10"/>
        <v>0.26537499999999997</v>
      </c>
      <c r="J51">
        <f t="shared" si="11"/>
        <v>77</v>
      </c>
      <c r="K51" s="8"/>
      <c r="L51" s="8">
        <f t="shared" si="12"/>
        <v>80</v>
      </c>
      <c r="M51">
        <f t="shared" si="13"/>
        <v>21.229999999999997</v>
      </c>
      <c r="N51" s="7">
        <f t="shared" si="14"/>
        <v>0.26537499999999997</v>
      </c>
      <c r="P51">
        <f t="shared" si="15"/>
        <v>80</v>
      </c>
      <c r="Q51">
        <f t="shared" si="16"/>
        <v>80</v>
      </c>
      <c r="R51">
        <f t="shared" si="17"/>
        <v>80</v>
      </c>
    </row>
    <row r="52" spans="1:18" x14ac:dyDescent="0.35">
      <c r="A52" s="2">
        <v>51</v>
      </c>
      <c r="B52" s="2" t="s">
        <v>298</v>
      </c>
      <c r="C52" s="2" t="s">
        <v>303</v>
      </c>
      <c r="D52" s="3">
        <v>8.2799999999999994</v>
      </c>
      <c r="E52" s="3">
        <v>65</v>
      </c>
      <c r="G52">
        <f t="shared" si="9"/>
        <v>13.42</v>
      </c>
      <c r="H52" s="7">
        <f t="shared" si="10"/>
        <v>0.20646153846153847</v>
      </c>
      <c r="J52">
        <f t="shared" si="11"/>
        <v>71</v>
      </c>
      <c r="K52" s="8"/>
      <c r="L52" s="8">
        <f t="shared" si="12"/>
        <v>71</v>
      </c>
      <c r="M52">
        <f t="shared" si="13"/>
        <v>17.619999999999997</v>
      </c>
      <c r="N52" s="7">
        <f t="shared" si="14"/>
        <v>0.24816901408450701</v>
      </c>
      <c r="P52">
        <f t="shared" si="15"/>
        <v>68</v>
      </c>
      <c r="Q52">
        <f t="shared" si="16"/>
        <v>71</v>
      </c>
      <c r="R52">
        <f t="shared" si="17"/>
        <v>71</v>
      </c>
    </row>
    <row r="53" spans="1:18" x14ac:dyDescent="0.35">
      <c r="A53" s="2">
        <v>52</v>
      </c>
      <c r="B53" s="2" t="s">
        <v>304</v>
      </c>
      <c r="C53" s="2" t="s">
        <v>305</v>
      </c>
      <c r="D53" s="3">
        <v>4.9000000000000004</v>
      </c>
      <c r="E53" s="3">
        <v>52</v>
      </c>
      <c r="G53">
        <f t="shared" si="9"/>
        <v>10.499999999999998</v>
      </c>
      <c r="H53" s="7">
        <f t="shared" si="10"/>
        <v>0.2019230769230769</v>
      </c>
      <c r="J53">
        <f t="shared" si="11"/>
        <v>64</v>
      </c>
      <c r="K53" s="8"/>
      <c r="L53" s="8">
        <f t="shared" si="12"/>
        <v>64</v>
      </c>
      <c r="M53">
        <f t="shared" si="13"/>
        <v>16.100000000000001</v>
      </c>
      <c r="N53" s="7">
        <f t="shared" si="14"/>
        <v>0.25156250000000002</v>
      </c>
      <c r="P53">
        <f t="shared" si="15"/>
        <v>55</v>
      </c>
      <c r="Q53">
        <f t="shared" si="16"/>
        <v>58</v>
      </c>
      <c r="R53">
        <f t="shared" si="17"/>
        <v>61</v>
      </c>
    </row>
    <row r="54" spans="1:18" x14ac:dyDescent="0.35">
      <c r="A54" s="2">
        <v>53</v>
      </c>
      <c r="B54" s="2" t="s">
        <v>304</v>
      </c>
      <c r="C54" s="2" t="s">
        <v>306</v>
      </c>
      <c r="D54" s="3">
        <v>5.78</v>
      </c>
      <c r="E54" s="3">
        <v>62</v>
      </c>
      <c r="G54">
        <f t="shared" si="9"/>
        <v>13.819999999999997</v>
      </c>
      <c r="H54" s="7">
        <f t="shared" si="10"/>
        <v>0.22290322580645155</v>
      </c>
      <c r="J54">
        <f t="shared" si="11"/>
        <v>66</v>
      </c>
      <c r="K54" s="8"/>
      <c r="L54" s="8">
        <f t="shared" si="12"/>
        <v>66</v>
      </c>
      <c r="M54">
        <f t="shared" si="13"/>
        <v>16.619999999999997</v>
      </c>
      <c r="N54" s="7">
        <f t="shared" si="14"/>
        <v>0.25181818181818177</v>
      </c>
      <c r="P54">
        <f t="shared" si="15"/>
        <v>65</v>
      </c>
      <c r="Q54">
        <f t="shared" si="16"/>
        <v>66</v>
      </c>
      <c r="R54">
        <f t="shared" si="17"/>
        <v>66</v>
      </c>
    </row>
    <row r="55" spans="1:18" x14ac:dyDescent="0.35">
      <c r="A55" s="2">
        <v>54</v>
      </c>
      <c r="B55" s="2" t="s">
        <v>304</v>
      </c>
      <c r="C55" s="2" t="s">
        <v>307</v>
      </c>
      <c r="D55" s="3">
        <v>7.09</v>
      </c>
      <c r="E55" s="3">
        <v>69</v>
      </c>
      <c r="G55">
        <f t="shared" si="9"/>
        <v>17.41</v>
      </c>
      <c r="H55" s="7">
        <f t="shared" si="10"/>
        <v>0.25231884057971016</v>
      </c>
      <c r="J55">
        <f t="shared" si="11"/>
        <v>69</v>
      </c>
      <c r="K55" s="8"/>
      <c r="L55" s="8">
        <f t="shared" si="12"/>
        <v>69</v>
      </c>
      <c r="M55">
        <f t="shared" si="13"/>
        <v>17.41</v>
      </c>
      <c r="N55" s="7">
        <f t="shared" si="14"/>
        <v>0.25231884057971016</v>
      </c>
      <c r="P55">
        <f t="shared" si="15"/>
        <v>69</v>
      </c>
      <c r="Q55">
        <f t="shared" si="16"/>
        <v>69</v>
      </c>
      <c r="R55">
        <f t="shared" si="17"/>
        <v>69</v>
      </c>
    </row>
    <row r="56" spans="1:18" x14ac:dyDescent="0.35">
      <c r="A56" s="2">
        <v>55</v>
      </c>
      <c r="B56" s="2" t="s">
        <v>304</v>
      </c>
      <c r="C56" s="2" t="s">
        <v>308</v>
      </c>
      <c r="D56" s="3">
        <v>7.63</v>
      </c>
      <c r="E56" s="3">
        <v>81</v>
      </c>
      <c r="G56">
        <f t="shared" si="9"/>
        <v>25.27</v>
      </c>
      <c r="H56" s="7">
        <f t="shared" si="10"/>
        <v>0.31197530864197531</v>
      </c>
      <c r="J56">
        <f t="shared" si="11"/>
        <v>70</v>
      </c>
      <c r="K56" s="8"/>
      <c r="L56" s="8">
        <f t="shared" si="12"/>
        <v>81</v>
      </c>
      <c r="M56">
        <f t="shared" si="13"/>
        <v>25.27</v>
      </c>
      <c r="N56" s="7">
        <f t="shared" si="14"/>
        <v>0.31197530864197531</v>
      </c>
      <c r="P56">
        <f t="shared" si="15"/>
        <v>81</v>
      </c>
      <c r="Q56">
        <f t="shared" si="16"/>
        <v>81</v>
      </c>
      <c r="R56">
        <f t="shared" si="17"/>
        <v>81</v>
      </c>
    </row>
    <row r="57" spans="1:18" x14ac:dyDescent="0.35">
      <c r="A57" s="2">
        <v>56</v>
      </c>
      <c r="B57" s="2" t="s">
        <v>304</v>
      </c>
      <c r="C57" s="2" t="s">
        <v>309</v>
      </c>
      <c r="D57" s="3">
        <v>9.68</v>
      </c>
      <c r="E57" s="3">
        <v>72</v>
      </c>
      <c r="G57">
        <f t="shared" si="9"/>
        <v>16.919999999999998</v>
      </c>
      <c r="H57" s="7">
        <f t="shared" si="10"/>
        <v>0.23499999999999999</v>
      </c>
      <c r="J57">
        <f t="shared" si="11"/>
        <v>74</v>
      </c>
      <c r="K57" s="8"/>
      <c r="L57" s="8">
        <f t="shared" si="12"/>
        <v>74</v>
      </c>
      <c r="M57">
        <f t="shared" si="13"/>
        <v>18.32</v>
      </c>
      <c r="N57" s="7">
        <f t="shared" si="14"/>
        <v>0.24756756756756756</v>
      </c>
      <c r="P57">
        <f t="shared" si="15"/>
        <v>74</v>
      </c>
      <c r="Q57">
        <f t="shared" si="16"/>
        <v>74</v>
      </c>
      <c r="R57">
        <f t="shared" si="17"/>
        <v>74</v>
      </c>
    </row>
    <row r="58" spans="1:18" x14ac:dyDescent="0.35">
      <c r="A58" s="2">
        <v>57</v>
      </c>
      <c r="B58" s="2" t="s">
        <v>310</v>
      </c>
      <c r="C58" s="2" t="s">
        <v>311</v>
      </c>
      <c r="D58" s="3">
        <v>7.13</v>
      </c>
      <c r="E58" s="3">
        <v>61</v>
      </c>
      <c r="G58">
        <f t="shared" si="9"/>
        <v>11.77</v>
      </c>
      <c r="H58" s="7">
        <f t="shared" si="10"/>
        <v>0.19295081967213115</v>
      </c>
      <c r="J58">
        <f t="shared" si="11"/>
        <v>69</v>
      </c>
      <c r="K58" s="8"/>
      <c r="L58" s="8">
        <f t="shared" si="12"/>
        <v>69</v>
      </c>
      <c r="M58">
        <f t="shared" si="13"/>
        <v>17.37</v>
      </c>
      <c r="N58" s="7">
        <f t="shared" si="14"/>
        <v>0.25173913043478263</v>
      </c>
      <c r="P58">
        <f t="shared" si="15"/>
        <v>64</v>
      </c>
      <c r="Q58">
        <f t="shared" si="16"/>
        <v>67</v>
      </c>
      <c r="R58">
        <f t="shared" si="17"/>
        <v>69</v>
      </c>
    </row>
    <row r="59" spans="1:18" x14ac:dyDescent="0.35">
      <c r="A59" s="2">
        <v>58</v>
      </c>
      <c r="B59" s="2" t="s">
        <v>310</v>
      </c>
      <c r="C59" s="2" t="s">
        <v>312</v>
      </c>
      <c r="D59" s="3">
        <v>8.44</v>
      </c>
      <c r="E59" s="3">
        <v>68</v>
      </c>
      <c r="G59">
        <f t="shared" si="9"/>
        <v>15.359999999999998</v>
      </c>
      <c r="H59" s="7">
        <f t="shared" si="10"/>
        <v>0.22588235294117642</v>
      </c>
      <c r="J59">
        <f t="shared" si="11"/>
        <v>72</v>
      </c>
      <c r="K59" s="8"/>
      <c r="L59" s="8">
        <f t="shared" si="12"/>
        <v>72</v>
      </c>
      <c r="M59">
        <f t="shared" si="13"/>
        <v>18.159999999999997</v>
      </c>
      <c r="N59" s="7">
        <f t="shared" si="14"/>
        <v>0.25222222222222218</v>
      </c>
      <c r="P59">
        <f t="shared" si="15"/>
        <v>71</v>
      </c>
      <c r="Q59">
        <f t="shared" si="16"/>
        <v>72</v>
      </c>
      <c r="R59">
        <f t="shared" si="17"/>
        <v>72</v>
      </c>
    </row>
    <row r="60" spans="1:18" x14ac:dyDescent="0.35">
      <c r="A60" s="2">
        <v>59</v>
      </c>
      <c r="B60" s="2" t="s">
        <v>310</v>
      </c>
      <c r="C60" s="2" t="s">
        <v>313</v>
      </c>
      <c r="D60" s="3">
        <v>8.9700000000000006</v>
      </c>
      <c r="E60" s="3">
        <v>81</v>
      </c>
      <c r="G60">
        <f t="shared" si="9"/>
        <v>23.93</v>
      </c>
      <c r="H60" s="7">
        <f t="shared" si="10"/>
        <v>0.29543209876543208</v>
      </c>
      <c r="J60">
        <f t="shared" si="11"/>
        <v>73</v>
      </c>
      <c r="K60" s="8"/>
      <c r="L60" s="8">
        <f t="shared" si="12"/>
        <v>81</v>
      </c>
      <c r="M60">
        <f t="shared" si="13"/>
        <v>23.93</v>
      </c>
      <c r="N60" s="7">
        <f t="shared" si="14"/>
        <v>0.29543209876543208</v>
      </c>
      <c r="P60">
        <f t="shared" si="15"/>
        <v>81</v>
      </c>
      <c r="Q60">
        <f t="shared" si="16"/>
        <v>81</v>
      </c>
      <c r="R60">
        <f t="shared" si="17"/>
        <v>81</v>
      </c>
    </row>
    <row r="61" spans="1:18" x14ac:dyDescent="0.35">
      <c r="A61" s="2">
        <v>60</v>
      </c>
      <c r="B61" s="2" t="s">
        <v>310</v>
      </c>
      <c r="C61" s="2" t="s">
        <v>314</v>
      </c>
      <c r="D61" s="3">
        <v>11.03</v>
      </c>
      <c r="E61" s="3">
        <v>69</v>
      </c>
      <c r="G61">
        <f t="shared" si="9"/>
        <v>13.47</v>
      </c>
      <c r="H61" s="7">
        <f t="shared" si="10"/>
        <v>0.19521739130434784</v>
      </c>
      <c r="J61">
        <f t="shared" si="11"/>
        <v>77</v>
      </c>
      <c r="K61" s="8"/>
      <c r="L61" s="8">
        <f t="shared" si="12"/>
        <v>77</v>
      </c>
      <c r="M61">
        <f t="shared" si="13"/>
        <v>19.07</v>
      </c>
      <c r="N61" s="7">
        <f t="shared" si="14"/>
        <v>0.24766233766233767</v>
      </c>
      <c r="P61">
        <f t="shared" si="15"/>
        <v>72</v>
      </c>
      <c r="Q61">
        <f t="shared" si="16"/>
        <v>75</v>
      </c>
      <c r="R61">
        <f t="shared" si="17"/>
        <v>77</v>
      </c>
    </row>
    <row r="62" spans="1:18" x14ac:dyDescent="0.35">
      <c r="A62" s="2">
        <v>61</v>
      </c>
      <c r="B62" s="2" t="s">
        <v>310</v>
      </c>
      <c r="C62" s="2" t="s">
        <v>315</v>
      </c>
      <c r="D62" s="3">
        <v>6.01</v>
      </c>
      <c r="E62" s="3">
        <v>51</v>
      </c>
      <c r="G62">
        <f t="shared" si="9"/>
        <v>9.0399999999999991</v>
      </c>
      <c r="H62" s="7">
        <f t="shared" si="10"/>
        <v>0.17725490196078431</v>
      </c>
      <c r="J62">
        <f t="shared" si="11"/>
        <v>66</v>
      </c>
      <c r="K62" s="8"/>
      <c r="L62" s="8">
        <f t="shared" si="12"/>
        <v>66</v>
      </c>
      <c r="M62">
        <f t="shared" si="13"/>
        <v>16.39</v>
      </c>
      <c r="N62" s="7">
        <f t="shared" si="14"/>
        <v>0.24833333333333335</v>
      </c>
      <c r="P62">
        <f t="shared" si="15"/>
        <v>54</v>
      </c>
      <c r="Q62">
        <f t="shared" si="16"/>
        <v>57</v>
      </c>
      <c r="R62">
        <f t="shared" si="17"/>
        <v>60</v>
      </c>
    </row>
    <row r="63" spans="1:18" x14ac:dyDescent="0.35">
      <c r="A63" s="2">
        <v>62</v>
      </c>
      <c r="B63" s="2" t="s">
        <v>316</v>
      </c>
      <c r="C63" s="2" t="s">
        <v>317</v>
      </c>
      <c r="D63" s="3">
        <v>2.37</v>
      </c>
      <c r="E63" s="3">
        <v>21</v>
      </c>
      <c r="G63">
        <f t="shared" si="9"/>
        <v>2.1799999999999997</v>
      </c>
      <c r="H63" s="7">
        <f t="shared" si="10"/>
        <v>0.1038095238095238</v>
      </c>
      <c r="J63" s="3">
        <v>21</v>
      </c>
      <c r="K63" s="8"/>
      <c r="L63" s="8">
        <f t="shared" si="12"/>
        <v>21</v>
      </c>
      <c r="M63">
        <f t="shared" si="13"/>
        <v>2.1799999999999997</v>
      </c>
      <c r="N63" s="7">
        <f t="shared" si="14"/>
        <v>0.1038095238095238</v>
      </c>
      <c r="P63">
        <f t="shared" si="15"/>
        <v>21</v>
      </c>
      <c r="Q63">
        <f t="shared" si="16"/>
        <v>21</v>
      </c>
      <c r="R63">
        <f t="shared" si="17"/>
        <v>21</v>
      </c>
    </row>
    <row r="64" spans="1:18" x14ac:dyDescent="0.35">
      <c r="A64" s="2">
        <v>63</v>
      </c>
      <c r="B64" s="2" t="s">
        <v>316</v>
      </c>
      <c r="C64" s="2" t="s">
        <v>318</v>
      </c>
      <c r="D64" s="3">
        <v>2.86</v>
      </c>
      <c r="E64" s="3">
        <v>23</v>
      </c>
      <c r="G64">
        <f t="shared" si="9"/>
        <v>2.39</v>
      </c>
      <c r="H64" s="7">
        <f t="shared" si="10"/>
        <v>0.10391304347826087</v>
      </c>
      <c r="J64" s="3">
        <v>23</v>
      </c>
      <c r="K64" s="8"/>
      <c r="L64" s="8">
        <f t="shared" si="12"/>
        <v>23</v>
      </c>
      <c r="M64">
        <f t="shared" si="13"/>
        <v>2.39</v>
      </c>
      <c r="N64" s="7">
        <f t="shared" si="14"/>
        <v>0.10391304347826087</v>
      </c>
      <c r="P64">
        <f t="shared" si="15"/>
        <v>23</v>
      </c>
      <c r="Q64">
        <f t="shared" si="16"/>
        <v>23</v>
      </c>
      <c r="R64">
        <f t="shared" si="17"/>
        <v>23</v>
      </c>
    </row>
    <row r="65" spans="1:18" x14ac:dyDescent="0.35">
      <c r="A65" s="2">
        <v>64</v>
      </c>
      <c r="B65" s="2" t="s">
        <v>316</v>
      </c>
      <c r="C65" s="2" t="s">
        <v>105</v>
      </c>
      <c r="D65" s="3">
        <v>3.23</v>
      </c>
      <c r="E65" s="3">
        <v>29</v>
      </c>
      <c r="G65">
        <f t="shared" si="9"/>
        <v>4.1199999999999992</v>
      </c>
      <c r="H65" s="7">
        <f t="shared" si="10"/>
        <v>0.14206896551724135</v>
      </c>
      <c r="J65" s="3">
        <v>29</v>
      </c>
      <c r="K65" s="8"/>
      <c r="L65" s="8">
        <f t="shared" si="12"/>
        <v>29</v>
      </c>
      <c r="M65">
        <f t="shared" si="13"/>
        <v>4.1199999999999992</v>
      </c>
      <c r="N65" s="7">
        <f t="shared" si="14"/>
        <v>0.14206896551724135</v>
      </c>
      <c r="P65">
        <f t="shared" si="15"/>
        <v>29</v>
      </c>
      <c r="Q65">
        <f t="shared" si="16"/>
        <v>29</v>
      </c>
      <c r="R65">
        <f t="shared" si="17"/>
        <v>29</v>
      </c>
    </row>
    <row r="66" spans="1:18" x14ac:dyDescent="0.35">
      <c r="A66" s="2">
        <v>65</v>
      </c>
      <c r="B66" s="2" t="s">
        <v>316</v>
      </c>
      <c r="C66" s="2" t="s">
        <v>319</v>
      </c>
      <c r="D66" s="3">
        <v>5.72</v>
      </c>
      <c r="E66" s="3">
        <v>39</v>
      </c>
      <c r="G66">
        <f t="shared" ref="G66:G85" si="18">IFERROR(((E66-MIN(E66/2,30)-4)*0.7)-$D66,0)</f>
        <v>5.13</v>
      </c>
      <c r="H66" s="7">
        <f t="shared" ref="H66:H97" si="19">G66/E66</f>
        <v>0.13153846153846155</v>
      </c>
      <c r="J66" s="3">
        <v>39</v>
      </c>
      <c r="K66" s="8"/>
      <c r="L66" s="8">
        <f t="shared" ref="L66:L85" si="20">MAX(J66,E66)</f>
        <v>39</v>
      </c>
      <c r="M66">
        <f t="shared" ref="M66:M97" si="21">((L66-(MIN(L66/2,30))-4)*0.7)-D66</f>
        <v>5.13</v>
      </c>
      <c r="N66" s="7">
        <f t="shared" ref="N66:N97" si="22">M66/L66</f>
        <v>0.13153846153846155</v>
      </c>
      <c r="P66">
        <f t="shared" ref="P66:P85" si="23">IF(L66&gt;E66,IF(E66+3&lt;=L66,E66+3,L66),E66)</f>
        <v>39</v>
      </c>
      <c r="Q66">
        <f t="shared" ref="Q66:Q97" si="24">IF(P66&lt;$L66,IF(P66+3&lt;=L66,P66+3,L66),P66)</f>
        <v>39</v>
      </c>
      <c r="R66">
        <f t="shared" ref="R66:R97" si="25">IF(Q66&lt;$L66,IF(Q66+3&lt;=L66,Q66+3,L66),Q66)</f>
        <v>39</v>
      </c>
    </row>
    <row r="67" spans="1:18" x14ac:dyDescent="0.35">
      <c r="A67" s="2">
        <v>66</v>
      </c>
      <c r="B67" s="2" t="s">
        <v>316</v>
      </c>
      <c r="C67" s="2" t="s">
        <v>320</v>
      </c>
      <c r="D67" s="3">
        <v>5.22</v>
      </c>
      <c r="E67" s="3">
        <v>36</v>
      </c>
      <c r="G67">
        <f t="shared" si="18"/>
        <v>4.5799999999999992</v>
      </c>
      <c r="H67" s="7">
        <f t="shared" si="19"/>
        <v>0.12722222222222221</v>
      </c>
      <c r="J67" s="3">
        <v>36</v>
      </c>
      <c r="K67" s="8"/>
      <c r="L67" s="8">
        <f t="shared" si="20"/>
        <v>36</v>
      </c>
      <c r="M67">
        <f t="shared" si="21"/>
        <v>4.5799999999999992</v>
      </c>
      <c r="N67" s="7">
        <f t="shared" si="22"/>
        <v>0.12722222222222221</v>
      </c>
      <c r="P67">
        <f t="shared" si="23"/>
        <v>36</v>
      </c>
      <c r="Q67">
        <f t="shared" si="24"/>
        <v>36</v>
      </c>
      <c r="R67">
        <f t="shared" si="25"/>
        <v>36</v>
      </c>
    </row>
    <row r="68" spans="1:18" x14ac:dyDescent="0.35">
      <c r="A68" s="2">
        <v>67</v>
      </c>
      <c r="B68" s="2" t="s">
        <v>316</v>
      </c>
      <c r="C68" s="2" t="s">
        <v>321</v>
      </c>
      <c r="D68" s="3">
        <v>5.68</v>
      </c>
      <c r="E68" s="3">
        <v>48</v>
      </c>
      <c r="G68">
        <f t="shared" si="18"/>
        <v>8.32</v>
      </c>
      <c r="H68" s="7">
        <f t="shared" si="19"/>
        <v>0.17333333333333334</v>
      </c>
      <c r="J68" s="3">
        <v>48</v>
      </c>
      <c r="K68" s="8"/>
      <c r="L68" s="8">
        <f t="shared" si="20"/>
        <v>48</v>
      </c>
      <c r="M68">
        <f t="shared" si="21"/>
        <v>8.32</v>
      </c>
      <c r="N68" s="7">
        <f t="shared" si="22"/>
        <v>0.17333333333333334</v>
      </c>
      <c r="P68">
        <f t="shared" si="23"/>
        <v>48</v>
      </c>
      <c r="Q68">
        <f t="shared" si="24"/>
        <v>48</v>
      </c>
      <c r="R68">
        <f t="shared" si="25"/>
        <v>48</v>
      </c>
    </row>
    <row r="69" spans="1:18" x14ac:dyDescent="0.35">
      <c r="A69" s="2">
        <v>68</v>
      </c>
      <c r="B69" s="2" t="s">
        <v>322</v>
      </c>
      <c r="C69" s="2" t="s">
        <v>323</v>
      </c>
      <c r="D69" s="3">
        <v>0.71</v>
      </c>
      <c r="E69" s="3">
        <v>8</v>
      </c>
      <c r="G69">
        <f t="shared" si="18"/>
        <v>-0.71</v>
      </c>
      <c r="H69" s="7">
        <f t="shared" si="19"/>
        <v>-8.8749999999999996E-2</v>
      </c>
      <c r="J69" s="3">
        <v>8</v>
      </c>
      <c r="K69" s="8"/>
      <c r="L69" s="8">
        <f t="shared" si="20"/>
        <v>8</v>
      </c>
      <c r="M69">
        <f t="shared" si="21"/>
        <v>-0.71</v>
      </c>
      <c r="N69" s="7">
        <f t="shared" si="22"/>
        <v>-8.8749999999999996E-2</v>
      </c>
      <c r="P69">
        <f t="shared" si="23"/>
        <v>8</v>
      </c>
      <c r="Q69">
        <f t="shared" si="24"/>
        <v>8</v>
      </c>
      <c r="R69">
        <f t="shared" si="25"/>
        <v>8</v>
      </c>
    </row>
    <row r="70" spans="1:18" x14ac:dyDescent="0.35">
      <c r="A70" s="2">
        <v>69</v>
      </c>
      <c r="B70" s="2" t="s">
        <v>322</v>
      </c>
      <c r="C70" s="2" t="s">
        <v>324</v>
      </c>
      <c r="D70" s="3">
        <v>0.55000000000000004</v>
      </c>
      <c r="E70" s="3">
        <v>8</v>
      </c>
      <c r="G70">
        <f t="shared" si="18"/>
        <v>-0.55000000000000004</v>
      </c>
      <c r="H70">
        <f t="shared" si="19"/>
        <v>-6.8750000000000006E-2</v>
      </c>
      <c r="J70" s="3">
        <v>8</v>
      </c>
      <c r="L70">
        <f t="shared" si="20"/>
        <v>8</v>
      </c>
      <c r="M70">
        <f t="shared" si="21"/>
        <v>-0.55000000000000004</v>
      </c>
      <c r="N70">
        <f t="shared" si="22"/>
        <v>-6.8750000000000006E-2</v>
      </c>
      <c r="P70">
        <f t="shared" si="23"/>
        <v>8</v>
      </c>
      <c r="Q70">
        <f t="shared" si="24"/>
        <v>8</v>
      </c>
      <c r="R70">
        <f t="shared" si="25"/>
        <v>8</v>
      </c>
    </row>
    <row r="71" spans="1:18" x14ac:dyDescent="0.35">
      <c r="A71" s="2">
        <v>70</v>
      </c>
      <c r="B71" s="2" t="s">
        <v>322</v>
      </c>
      <c r="C71" s="2" t="s">
        <v>325</v>
      </c>
      <c r="D71" s="3">
        <v>0.52</v>
      </c>
      <c r="E71" s="3">
        <v>8</v>
      </c>
      <c r="G71">
        <f t="shared" si="18"/>
        <v>-0.52</v>
      </c>
      <c r="H71">
        <f t="shared" si="19"/>
        <v>-6.5000000000000002E-2</v>
      </c>
      <c r="J71" s="3">
        <v>8</v>
      </c>
      <c r="L71">
        <f t="shared" si="20"/>
        <v>8</v>
      </c>
      <c r="M71">
        <f t="shared" si="21"/>
        <v>-0.52</v>
      </c>
      <c r="N71">
        <f t="shared" si="22"/>
        <v>-6.5000000000000002E-2</v>
      </c>
      <c r="P71">
        <f t="shared" si="23"/>
        <v>8</v>
      </c>
      <c r="Q71">
        <f t="shared" si="24"/>
        <v>8</v>
      </c>
      <c r="R71">
        <f t="shared" si="25"/>
        <v>8</v>
      </c>
    </row>
    <row r="72" spans="1:18" x14ac:dyDescent="0.35">
      <c r="A72" s="2">
        <v>71</v>
      </c>
      <c r="B72" s="2" t="s">
        <v>322</v>
      </c>
      <c r="C72" s="2" t="s">
        <v>326</v>
      </c>
      <c r="D72" s="3">
        <v>0.74</v>
      </c>
      <c r="E72" s="3">
        <v>8</v>
      </c>
      <c r="G72">
        <f t="shared" si="18"/>
        <v>-0.74</v>
      </c>
      <c r="H72">
        <f t="shared" si="19"/>
        <v>-9.2499999999999999E-2</v>
      </c>
      <c r="J72" s="3">
        <v>8</v>
      </c>
      <c r="L72">
        <f t="shared" si="20"/>
        <v>8</v>
      </c>
      <c r="M72">
        <f t="shared" si="21"/>
        <v>-0.74</v>
      </c>
      <c r="N72">
        <f t="shared" si="22"/>
        <v>-9.2499999999999999E-2</v>
      </c>
      <c r="P72">
        <f t="shared" si="23"/>
        <v>8</v>
      </c>
      <c r="Q72">
        <f t="shared" si="24"/>
        <v>8</v>
      </c>
      <c r="R72">
        <f t="shared" si="25"/>
        <v>8</v>
      </c>
    </row>
    <row r="73" spans="1:18" x14ac:dyDescent="0.35">
      <c r="A73" s="2">
        <v>72</v>
      </c>
      <c r="B73" s="2" t="s">
        <v>322</v>
      </c>
      <c r="C73" s="2" t="s">
        <v>327</v>
      </c>
      <c r="D73" s="3">
        <v>0.37</v>
      </c>
      <c r="E73" s="3">
        <v>8</v>
      </c>
      <c r="G73">
        <f t="shared" si="18"/>
        <v>-0.37</v>
      </c>
      <c r="H73">
        <f t="shared" si="19"/>
        <v>-4.6249999999999999E-2</v>
      </c>
      <c r="J73" s="3">
        <v>8</v>
      </c>
      <c r="L73">
        <f t="shared" si="20"/>
        <v>8</v>
      </c>
      <c r="M73">
        <f t="shared" si="21"/>
        <v>-0.37</v>
      </c>
      <c r="N73">
        <f t="shared" si="22"/>
        <v>-4.6249999999999999E-2</v>
      </c>
      <c r="P73">
        <f t="shared" si="23"/>
        <v>8</v>
      </c>
      <c r="Q73">
        <f t="shared" si="24"/>
        <v>8</v>
      </c>
      <c r="R73">
        <f t="shared" si="25"/>
        <v>8</v>
      </c>
    </row>
    <row r="74" spans="1:18" x14ac:dyDescent="0.35">
      <c r="A74" s="2">
        <v>73</v>
      </c>
      <c r="B74" s="2" t="s">
        <v>322</v>
      </c>
      <c r="C74" s="2" t="s">
        <v>328</v>
      </c>
      <c r="D74" s="3">
        <v>0.05</v>
      </c>
      <c r="E74" s="3">
        <v>8</v>
      </c>
      <c r="G74">
        <f t="shared" si="18"/>
        <v>-0.05</v>
      </c>
      <c r="H74">
        <f t="shared" si="19"/>
        <v>-6.2500000000000003E-3</v>
      </c>
      <c r="J74" s="3">
        <v>8</v>
      </c>
      <c r="L74">
        <f t="shared" si="20"/>
        <v>8</v>
      </c>
      <c r="M74">
        <f t="shared" si="21"/>
        <v>-0.05</v>
      </c>
      <c r="N74">
        <f t="shared" si="22"/>
        <v>-6.2500000000000003E-3</v>
      </c>
      <c r="P74">
        <f t="shared" si="23"/>
        <v>8</v>
      </c>
      <c r="Q74">
        <f t="shared" si="24"/>
        <v>8</v>
      </c>
      <c r="R74">
        <f t="shared" si="25"/>
        <v>8</v>
      </c>
    </row>
    <row r="75" spans="1:18" x14ac:dyDescent="0.35">
      <c r="A75" s="2">
        <v>74</v>
      </c>
      <c r="B75" s="2" t="s">
        <v>322</v>
      </c>
      <c r="C75" s="2" t="s">
        <v>329</v>
      </c>
      <c r="D75" s="3">
        <v>0.45</v>
      </c>
      <c r="E75" s="3">
        <v>8</v>
      </c>
      <c r="G75">
        <f t="shared" si="18"/>
        <v>-0.45</v>
      </c>
      <c r="H75">
        <f t="shared" si="19"/>
        <v>-5.6250000000000001E-2</v>
      </c>
      <c r="J75" s="3">
        <v>8</v>
      </c>
      <c r="L75">
        <f t="shared" si="20"/>
        <v>8</v>
      </c>
      <c r="M75">
        <f t="shared" si="21"/>
        <v>-0.45</v>
      </c>
      <c r="N75">
        <f t="shared" si="22"/>
        <v>-5.6250000000000001E-2</v>
      </c>
      <c r="P75">
        <f t="shared" si="23"/>
        <v>8</v>
      </c>
      <c r="Q75">
        <f t="shared" si="24"/>
        <v>8</v>
      </c>
      <c r="R75">
        <f t="shared" si="25"/>
        <v>8</v>
      </c>
    </row>
    <row r="76" spans="1:18" x14ac:dyDescent="0.35">
      <c r="A76" s="2">
        <v>75</v>
      </c>
      <c r="B76" s="2" t="s">
        <v>322</v>
      </c>
      <c r="C76" s="2" t="s">
        <v>330</v>
      </c>
      <c r="D76" s="3">
        <v>0.36</v>
      </c>
      <c r="E76" s="3">
        <v>8</v>
      </c>
      <c r="G76">
        <f t="shared" si="18"/>
        <v>-0.36</v>
      </c>
      <c r="H76">
        <f t="shared" si="19"/>
        <v>-4.4999999999999998E-2</v>
      </c>
      <c r="J76" s="3">
        <v>8</v>
      </c>
      <c r="L76">
        <f t="shared" si="20"/>
        <v>8</v>
      </c>
      <c r="M76">
        <f t="shared" si="21"/>
        <v>-0.36</v>
      </c>
      <c r="N76">
        <f t="shared" si="22"/>
        <v>-4.4999999999999998E-2</v>
      </c>
      <c r="P76">
        <f t="shared" si="23"/>
        <v>8</v>
      </c>
      <c r="Q76">
        <f t="shared" si="24"/>
        <v>8</v>
      </c>
      <c r="R76">
        <f t="shared" si="25"/>
        <v>8</v>
      </c>
    </row>
    <row r="77" spans="1:18" x14ac:dyDescent="0.35">
      <c r="A77" s="2">
        <v>76</v>
      </c>
      <c r="B77" s="2" t="s">
        <v>322</v>
      </c>
      <c r="C77" s="2" t="s">
        <v>331</v>
      </c>
      <c r="D77" s="3">
        <v>0.78</v>
      </c>
      <c r="E77" s="3">
        <v>8</v>
      </c>
      <c r="G77">
        <f t="shared" si="18"/>
        <v>-0.78</v>
      </c>
      <c r="H77">
        <f t="shared" si="19"/>
        <v>-9.7500000000000003E-2</v>
      </c>
      <c r="J77" s="3">
        <v>8</v>
      </c>
      <c r="L77">
        <f t="shared" si="20"/>
        <v>8</v>
      </c>
      <c r="M77">
        <f t="shared" si="21"/>
        <v>-0.78</v>
      </c>
      <c r="N77">
        <f t="shared" si="22"/>
        <v>-9.7500000000000003E-2</v>
      </c>
      <c r="P77">
        <f t="shared" si="23"/>
        <v>8</v>
      </c>
      <c r="Q77">
        <f t="shared" si="24"/>
        <v>8</v>
      </c>
      <c r="R77">
        <f t="shared" si="25"/>
        <v>8</v>
      </c>
    </row>
    <row r="78" spans="1:18" x14ac:dyDescent="0.35">
      <c r="A78" s="2">
        <v>77</v>
      </c>
      <c r="B78" s="2" t="s">
        <v>322</v>
      </c>
      <c r="C78" s="2" t="s">
        <v>332</v>
      </c>
      <c r="D78" s="3">
        <v>0.9</v>
      </c>
      <c r="E78" s="3">
        <v>8</v>
      </c>
      <c r="G78">
        <f t="shared" si="18"/>
        <v>-0.9</v>
      </c>
      <c r="H78">
        <f t="shared" si="19"/>
        <v>-0.1125</v>
      </c>
      <c r="J78" s="3">
        <v>8</v>
      </c>
      <c r="L78">
        <f t="shared" si="20"/>
        <v>8</v>
      </c>
      <c r="M78">
        <f t="shared" si="21"/>
        <v>-0.9</v>
      </c>
      <c r="N78">
        <f t="shared" si="22"/>
        <v>-0.1125</v>
      </c>
      <c r="P78">
        <f t="shared" si="23"/>
        <v>8</v>
      </c>
      <c r="Q78">
        <f t="shared" si="24"/>
        <v>8</v>
      </c>
      <c r="R78">
        <f t="shared" si="25"/>
        <v>8</v>
      </c>
    </row>
    <row r="79" spans="1:18" x14ac:dyDescent="0.35">
      <c r="A79" s="2">
        <v>78</v>
      </c>
      <c r="B79" s="2" t="s">
        <v>333</v>
      </c>
      <c r="C79" s="2" t="s">
        <v>334</v>
      </c>
      <c r="D79" s="3">
        <v>16.89</v>
      </c>
      <c r="E79" s="3">
        <v>22</v>
      </c>
      <c r="G79">
        <f t="shared" si="18"/>
        <v>-11.990000000000002</v>
      </c>
      <c r="H79">
        <f t="shared" si="19"/>
        <v>-0.54500000000000004</v>
      </c>
      <c r="J79" s="3">
        <v>22</v>
      </c>
      <c r="L79">
        <f t="shared" si="20"/>
        <v>22</v>
      </c>
      <c r="M79">
        <f t="shared" si="21"/>
        <v>-11.990000000000002</v>
      </c>
      <c r="N79">
        <f t="shared" si="22"/>
        <v>-0.54500000000000004</v>
      </c>
      <c r="P79">
        <f t="shared" si="23"/>
        <v>22</v>
      </c>
      <c r="Q79">
        <f t="shared" si="24"/>
        <v>22</v>
      </c>
      <c r="R79">
        <f t="shared" si="25"/>
        <v>22</v>
      </c>
    </row>
    <row r="80" spans="1:18" x14ac:dyDescent="0.35">
      <c r="A80" s="2">
        <v>79</v>
      </c>
      <c r="B80" s="2" t="s">
        <v>333</v>
      </c>
      <c r="C80" s="2" t="s">
        <v>141</v>
      </c>
      <c r="D80" s="3">
        <v>0.44</v>
      </c>
      <c r="E80" s="3">
        <v>4</v>
      </c>
      <c r="G80">
        <f t="shared" si="18"/>
        <v>-1.8399999999999999</v>
      </c>
      <c r="H80">
        <f t="shared" si="19"/>
        <v>-0.45999999999999996</v>
      </c>
      <c r="J80" s="3">
        <v>4</v>
      </c>
      <c r="L80">
        <f t="shared" si="20"/>
        <v>4</v>
      </c>
      <c r="M80">
        <f t="shared" si="21"/>
        <v>-1.8399999999999999</v>
      </c>
      <c r="N80">
        <f t="shared" si="22"/>
        <v>-0.45999999999999996</v>
      </c>
      <c r="P80">
        <f t="shared" si="23"/>
        <v>4</v>
      </c>
      <c r="Q80">
        <f t="shared" si="24"/>
        <v>4</v>
      </c>
      <c r="R80">
        <f t="shared" si="25"/>
        <v>4</v>
      </c>
    </row>
    <row r="81" spans="1:18" x14ac:dyDescent="0.35">
      <c r="A81" s="2">
        <v>80</v>
      </c>
      <c r="B81" s="2" t="s">
        <v>333</v>
      </c>
      <c r="C81" s="2" t="s">
        <v>142</v>
      </c>
      <c r="D81" s="3">
        <v>1.96</v>
      </c>
      <c r="E81" s="3">
        <v>9</v>
      </c>
      <c r="G81">
        <f t="shared" si="18"/>
        <v>-1.6099999999999999</v>
      </c>
      <c r="H81">
        <f t="shared" si="19"/>
        <v>-0.17888888888888888</v>
      </c>
      <c r="J81" s="3">
        <v>9</v>
      </c>
      <c r="L81">
        <f t="shared" si="20"/>
        <v>9</v>
      </c>
      <c r="M81">
        <f t="shared" si="21"/>
        <v>-1.6099999999999999</v>
      </c>
      <c r="N81">
        <f t="shared" si="22"/>
        <v>-0.17888888888888888</v>
      </c>
      <c r="P81">
        <f t="shared" si="23"/>
        <v>9</v>
      </c>
      <c r="Q81">
        <f t="shared" si="24"/>
        <v>9</v>
      </c>
      <c r="R81">
        <f t="shared" si="25"/>
        <v>9</v>
      </c>
    </row>
    <row r="82" spans="1:18" x14ac:dyDescent="0.35">
      <c r="A82" s="2">
        <v>81</v>
      </c>
      <c r="B82" s="2" t="s">
        <v>333</v>
      </c>
      <c r="C82" s="2" t="s">
        <v>143</v>
      </c>
      <c r="D82" s="3">
        <v>1.96</v>
      </c>
      <c r="E82" s="3">
        <v>9</v>
      </c>
      <c r="G82">
        <f t="shared" si="18"/>
        <v>-1.6099999999999999</v>
      </c>
      <c r="H82">
        <f t="shared" si="19"/>
        <v>-0.17888888888888888</v>
      </c>
      <c r="J82" s="3">
        <v>9</v>
      </c>
      <c r="L82">
        <f t="shared" si="20"/>
        <v>9</v>
      </c>
      <c r="M82">
        <f t="shared" si="21"/>
        <v>-1.6099999999999999</v>
      </c>
      <c r="N82">
        <f t="shared" si="22"/>
        <v>-0.17888888888888888</v>
      </c>
      <c r="P82">
        <f t="shared" si="23"/>
        <v>9</v>
      </c>
      <c r="Q82">
        <f t="shared" si="24"/>
        <v>9</v>
      </c>
      <c r="R82">
        <f t="shared" si="25"/>
        <v>9</v>
      </c>
    </row>
    <row r="83" spans="1:18" x14ac:dyDescent="0.35">
      <c r="A83" s="2">
        <v>82</v>
      </c>
      <c r="B83" s="2" t="s">
        <v>333</v>
      </c>
      <c r="C83" s="2" t="s">
        <v>144</v>
      </c>
      <c r="D83" s="3">
        <v>1.96</v>
      </c>
      <c r="E83" s="3">
        <v>9</v>
      </c>
      <c r="G83">
        <f t="shared" si="18"/>
        <v>-1.6099999999999999</v>
      </c>
      <c r="H83">
        <f t="shared" si="19"/>
        <v>-0.17888888888888888</v>
      </c>
      <c r="J83" s="3">
        <v>9</v>
      </c>
      <c r="L83">
        <f t="shared" si="20"/>
        <v>9</v>
      </c>
      <c r="M83">
        <f t="shared" si="21"/>
        <v>-1.6099999999999999</v>
      </c>
      <c r="N83">
        <f t="shared" si="22"/>
        <v>-0.17888888888888888</v>
      </c>
      <c r="P83">
        <f t="shared" si="23"/>
        <v>9</v>
      </c>
      <c r="Q83">
        <f t="shared" si="24"/>
        <v>9</v>
      </c>
      <c r="R83">
        <f t="shared" si="25"/>
        <v>9</v>
      </c>
    </row>
    <row r="84" spans="1:18" x14ac:dyDescent="0.35">
      <c r="A84" s="2">
        <v>83</v>
      </c>
      <c r="B84" s="2" t="s">
        <v>333</v>
      </c>
      <c r="C84" s="2" t="s">
        <v>145</v>
      </c>
      <c r="D84" s="3">
        <v>1.96</v>
      </c>
      <c r="E84" s="3">
        <v>9</v>
      </c>
      <c r="G84">
        <f t="shared" si="18"/>
        <v>-1.6099999999999999</v>
      </c>
      <c r="H84">
        <f t="shared" si="19"/>
        <v>-0.17888888888888888</v>
      </c>
      <c r="J84" s="3">
        <v>9</v>
      </c>
      <c r="L84">
        <f t="shared" si="20"/>
        <v>9</v>
      </c>
      <c r="M84">
        <f t="shared" si="21"/>
        <v>-1.6099999999999999</v>
      </c>
      <c r="N84">
        <f t="shared" si="22"/>
        <v>-0.17888888888888888</v>
      </c>
      <c r="P84">
        <f t="shared" si="23"/>
        <v>9</v>
      </c>
      <c r="Q84">
        <f t="shared" si="24"/>
        <v>9</v>
      </c>
      <c r="R84">
        <f t="shared" si="25"/>
        <v>9</v>
      </c>
    </row>
    <row r="85" spans="1:18" x14ac:dyDescent="0.35">
      <c r="A85" s="2">
        <v>84</v>
      </c>
      <c r="B85" s="2" t="s">
        <v>333</v>
      </c>
      <c r="C85" s="2" t="s">
        <v>146</v>
      </c>
      <c r="D85" s="3">
        <v>1.96</v>
      </c>
      <c r="E85" s="3">
        <v>9</v>
      </c>
      <c r="G85">
        <f t="shared" si="18"/>
        <v>-1.6099999999999999</v>
      </c>
      <c r="H85">
        <f t="shared" si="19"/>
        <v>-0.17888888888888888</v>
      </c>
      <c r="J85" s="3">
        <v>9</v>
      </c>
      <c r="L85">
        <f t="shared" si="20"/>
        <v>9</v>
      </c>
      <c r="M85">
        <f t="shared" si="21"/>
        <v>-1.6099999999999999</v>
      </c>
      <c r="N85">
        <f t="shared" si="22"/>
        <v>-0.17888888888888888</v>
      </c>
      <c r="P85">
        <f t="shared" si="23"/>
        <v>9</v>
      </c>
      <c r="Q85">
        <f t="shared" si="24"/>
        <v>9</v>
      </c>
      <c r="R85">
        <f t="shared" si="25"/>
        <v>9</v>
      </c>
    </row>
    <row r="92" spans="1:18" x14ac:dyDescent="0.35">
      <c r="J92" s="3"/>
    </row>
    <row r="93" spans="1:18" x14ac:dyDescent="0.35">
      <c r="J93" s="3"/>
    </row>
    <row r="94" spans="1:18" x14ac:dyDescent="0.35">
      <c r="J94" s="3"/>
    </row>
    <row r="95" spans="1:18" x14ac:dyDescent="0.35">
      <c r="J95" s="3"/>
    </row>
    <row r="96" spans="1:18" x14ac:dyDescent="0.35">
      <c r="J96" s="3"/>
    </row>
    <row r="97" spans="10:10" x14ac:dyDescent="0.35">
      <c r="J97" s="3"/>
    </row>
    <row r="98" spans="10:10" x14ac:dyDescent="0.35">
      <c r="J98" s="3"/>
    </row>
    <row r="99" spans="10:10" x14ac:dyDescent="0.35">
      <c r="J99" s="3"/>
    </row>
    <row r="100" spans="10:10" x14ac:dyDescent="0.35">
      <c r="J100" s="3"/>
    </row>
    <row r="101" spans="10:10" x14ac:dyDescent="0.35">
      <c r="J101" s="3"/>
    </row>
    <row r="102" spans="10:10" x14ac:dyDescent="0.35">
      <c r="J102" s="3"/>
    </row>
    <row r="103" spans="10:10" x14ac:dyDescent="0.35">
      <c r="J103" s="3"/>
    </row>
    <row r="104" spans="10:10" x14ac:dyDescent="0.35">
      <c r="J104" s="3"/>
    </row>
    <row r="105" spans="10:10" x14ac:dyDescent="0.35">
      <c r="J105" s="3"/>
    </row>
    <row r="106" spans="10:10" x14ac:dyDescent="0.35">
      <c r="J106" s="3"/>
    </row>
    <row r="107" spans="10:10" x14ac:dyDescent="0.35">
      <c r="J107" s="3"/>
    </row>
    <row r="108" spans="10:10" x14ac:dyDescent="0.35">
      <c r="J108" s="3"/>
    </row>
    <row r="109" spans="10:10" x14ac:dyDescent="0.35">
      <c r="J109" s="3"/>
    </row>
    <row r="110" spans="10:10" x14ac:dyDescent="0.35">
      <c r="J110" s="3"/>
    </row>
    <row r="111" spans="10:10" x14ac:dyDescent="0.35">
      <c r="J111" s="3"/>
    </row>
    <row r="112" spans="10:10" x14ac:dyDescent="0.35">
      <c r="J112" s="3"/>
    </row>
    <row r="128" spans="10:10" x14ac:dyDescent="0.35">
      <c r="J128" s="3"/>
    </row>
    <row r="129" spans="10:10" x14ac:dyDescent="0.35">
      <c r="J129" s="3"/>
    </row>
    <row r="130" spans="10:10" x14ac:dyDescent="0.35">
      <c r="J130" s="3"/>
    </row>
    <row r="131" spans="10:10" x14ac:dyDescent="0.35">
      <c r="J131" s="3"/>
    </row>
    <row r="132" spans="10:10" x14ac:dyDescent="0.35">
      <c r="J132" s="3"/>
    </row>
    <row r="133" spans="10:10" x14ac:dyDescent="0.35">
      <c r="J133" s="3"/>
    </row>
  </sheetData>
  <conditionalFormatting sqref="L2:L69">
    <cfRule type="cellIs" dxfId="11" priority="1" operator="greaterThan">
      <formula>E2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>
      <selection activeCell="H1" sqref="H1:M2"/>
    </sheetView>
  </sheetViews>
  <sheetFormatPr defaultRowHeight="14.5" x14ac:dyDescent="0.35"/>
  <cols>
    <col min="1" max="1" width="8" customWidth="1"/>
    <col min="2" max="2" width="53" customWidth="1"/>
    <col min="3" max="3" width="36" customWidth="1"/>
    <col min="4" max="5" width="17" customWidth="1"/>
    <col min="6" max="6" width="19" customWidth="1"/>
  </cols>
  <sheetData>
    <row r="1" spans="1:13" x14ac:dyDescent="0.35">
      <c r="A1" s="1" t="s">
        <v>0</v>
      </c>
      <c r="B1" s="1" t="s">
        <v>227</v>
      </c>
      <c r="C1" s="1" t="s">
        <v>219</v>
      </c>
      <c r="D1" s="1" t="s">
        <v>220</v>
      </c>
      <c r="E1" s="1" t="s">
        <v>221</v>
      </c>
      <c r="F1" s="1" t="s">
        <v>4</v>
      </c>
      <c r="H1" s="6" t="s">
        <v>5</v>
      </c>
      <c r="I1" s="6" t="s">
        <v>6</v>
      </c>
      <c r="K1" s="5" t="s">
        <v>7</v>
      </c>
      <c r="M1" s="5" t="s">
        <v>8</v>
      </c>
    </row>
    <row r="2" spans="1:13" x14ac:dyDescent="0.35">
      <c r="A2" s="2">
        <v>1</v>
      </c>
      <c r="B2" s="2" t="s">
        <v>335</v>
      </c>
      <c r="C2" s="2" t="s">
        <v>336</v>
      </c>
      <c r="D2" s="3">
        <v>8.91</v>
      </c>
      <c r="E2" s="3">
        <v>15.56</v>
      </c>
      <c r="F2" s="4">
        <v>69</v>
      </c>
      <c r="H2">
        <f>IFERROR(((F2-MIN(F2/2,30)-4)*0.7)-$D2,0)</f>
        <v>15.59</v>
      </c>
      <c r="I2" s="7">
        <f>H2/F2</f>
        <v>0.22594202898550725</v>
      </c>
      <c r="K2">
        <f>ROUND(IF(E2&lt;=3.2,28+10*(E2),(23.8+E2)/0.45),0)</f>
        <v>87</v>
      </c>
      <c r="M2" s="8">
        <f>MAX(K2,F2)</f>
        <v>87</v>
      </c>
    </row>
    <row r="3" spans="1:13" x14ac:dyDescent="0.35">
      <c r="A3" s="2">
        <v>2</v>
      </c>
      <c r="B3" s="2" t="s">
        <v>335</v>
      </c>
      <c r="C3" s="2" t="s">
        <v>337</v>
      </c>
      <c r="D3" s="3">
        <v>26.08</v>
      </c>
      <c r="E3" s="3">
        <v>43.57</v>
      </c>
      <c r="F3" s="4">
        <v>119</v>
      </c>
    </row>
    <row r="4" spans="1:13" x14ac:dyDescent="0.35">
      <c r="A4" s="2">
        <v>3</v>
      </c>
      <c r="B4" s="2" t="s">
        <v>335</v>
      </c>
      <c r="C4" s="2" t="s">
        <v>338</v>
      </c>
      <c r="D4" s="3">
        <v>47.32</v>
      </c>
      <c r="E4" s="3">
        <v>83.89</v>
      </c>
      <c r="F4" s="4">
        <v>219</v>
      </c>
    </row>
    <row r="5" spans="1:13" x14ac:dyDescent="0.35">
      <c r="A5" s="2">
        <v>4</v>
      </c>
      <c r="B5" s="2" t="s">
        <v>335</v>
      </c>
      <c r="C5" s="2" t="s">
        <v>339</v>
      </c>
      <c r="D5" s="3">
        <v>71.11</v>
      </c>
      <c r="E5" s="3">
        <v>130.94999999999999</v>
      </c>
      <c r="F5" s="4">
        <v>279</v>
      </c>
    </row>
  </sheetData>
  <conditionalFormatting sqref="M2">
    <cfRule type="cellIs" dxfId="10" priority="1" operator="greaterThan">
      <formula>F2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23"/>
  <sheetViews>
    <sheetView topLeftCell="D1" workbookViewId="0">
      <selection activeCell="R1" sqref="R1:W2"/>
    </sheetView>
  </sheetViews>
  <sheetFormatPr defaultRowHeight="14.5" x14ac:dyDescent="0.35"/>
  <cols>
    <col min="1" max="1" width="8" customWidth="1"/>
    <col min="2" max="2" width="19" customWidth="1"/>
    <col min="3" max="3" width="26" customWidth="1"/>
    <col min="4" max="4" width="12" customWidth="1"/>
    <col min="5" max="5" width="15" customWidth="1"/>
    <col min="6" max="6" width="9" customWidth="1"/>
    <col min="7" max="7" width="12" customWidth="1"/>
    <col min="8" max="8" width="19" style="13" customWidth="1"/>
    <col min="9" max="9" width="19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340</v>
      </c>
      <c r="E1" s="1" t="s">
        <v>341</v>
      </c>
      <c r="F1" s="1" t="s">
        <v>342</v>
      </c>
      <c r="G1" s="1" t="s">
        <v>343</v>
      </c>
      <c r="H1" s="14" t="s">
        <v>344</v>
      </c>
      <c r="I1" s="1" t="s">
        <v>4</v>
      </c>
      <c r="K1" s="6" t="s">
        <v>5</v>
      </c>
      <c r="L1" s="6" t="s">
        <v>6</v>
      </c>
      <c r="N1" s="5" t="s">
        <v>7</v>
      </c>
      <c r="P1" s="5" t="s">
        <v>8</v>
      </c>
    </row>
    <row r="2" spans="1:30" x14ac:dyDescent="0.35">
      <c r="A2" s="2">
        <v>1</v>
      </c>
      <c r="B2" s="2" t="s">
        <v>345</v>
      </c>
      <c r="C2" s="2" t="s">
        <v>346</v>
      </c>
      <c r="D2" s="3">
        <v>3.56</v>
      </c>
      <c r="E2" s="3">
        <v>0.34</v>
      </c>
      <c r="F2" s="3">
        <v>0</v>
      </c>
      <c r="G2" s="3">
        <v>1.29</v>
      </c>
      <c r="H2" s="15">
        <v>5.18</v>
      </c>
      <c r="I2" s="3">
        <v>44</v>
      </c>
      <c r="K2">
        <f t="shared" ref="K2:K33" si="0">IFERROR(((I2-MIN(I2/2,30)-4)*0.7)-$H2,0)</f>
        <v>7.42</v>
      </c>
      <c r="L2" s="7">
        <f t="shared" ref="L2:L33" si="1">K2/I2</f>
        <v>0.16863636363636364</v>
      </c>
      <c r="N2">
        <f t="shared" ref="N2:N33" si="2">ROUND(IF(H2&lt;=3.2,28+10*(H2),(23.8+H2)/0.45),0)</f>
        <v>64</v>
      </c>
      <c r="P2" s="8">
        <f t="shared" ref="P2:P33" si="3">MAX(N2,I2)</f>
        <v>64</v>
      </c>
      <c r="R2">
        <f t="shared" ref="R2:R33" si="4">ROUND((4.17*H2)+11.67,0)</f>
        <v>33</v>
      </c>
      <c r="S2">
        <f t="shared" ref="S2:S33" si="5">(((R2*0.7)-4)*0.7)-H2</f>
        <v>8.1899999999999977</v>
      </c>
      <c r="T2" s="7">
        <f t="shared" ref="T2:T33" si="6">S2/R2</f>
        <v>0.24818181818181811</v>
      </c>
      <c r="V2" s="8">
        <f t="shared" ref="V2:V33" si="7">I2-R2</f>
        <v>11</v>
      </c>
      <c r="W2" s="8">
        <f t="shared" ref="W2:W33" si="8">S2-K2</f>
        <v>0.7699999999999978</v>
      </c>
      <c r="Y2">
        <f t="shared" ref="Y2:Y33" si="9">ROUND((5.88*H2)+16.47,0)</f>
        <v>47</v>
      </c>
      <c r="Z2">
        <f t="shared" ref="Z2:Z33" si="10">(((Y2*0.6)-4)*0.7)-H2</f>
        <v>11.759999999999998</v>
      </c>
      <c r="AA2" s="7">
        <f t="shared" ref="AA2:AA33" si="11">Z2/Y2</f>
        <v>0.25021276595744679</v>
      </c>
      <c r="AC2" s="8">
        <f t="shared" ref="AC2:AC33" si="12">I2-Y2</f>
        <v>-3</v>
      </c>
      <c r="AD2" s="8">
        <f t="shared" ref="AD2:AD33" si="13">Z2-K2</f>
        <v>4.3399999999999981</v>
      </c>
    </row>
    <row r="3" spans="1:30" x14ac:dyDescent="0.35">
      <c r="A3" s="2">
        <v>2</v>
      </c>
      <c r="B3" s="2" t="s">
        <v>345</v>
      </c>
      <c r="C3" s="2" t="s">
        <v>347</v>
      </c>
      <c r="D3" s="3">
        <v>7.82</v>
      </c>
      <c r="E3" s="3">
        <v>0.34</v>
      </c>
      <c r="F3" s="3">
        <v>0</v>
      </c>
      <c r="G3" s="3">
        <v>1.29</v>
      </c>
      <c r="H3" s="15">
        <v>9.44</v>
      </c>
      <c r="I3" s="3">
        <v>57</v>
      </c>
      <c r="K3">
        <f t="shared" si="0"/>
        <v>7.7099999999999991</v>
      </c>
      <c r="L3" s="7">
        <f t="shared" si="1"/>
        <v>0.13526315789473684</v>
      </c>
      <c r="N3">
        <f t="shared" si="2"/>
        <v>74</v>
      </c>
      <c r="P3" s="8">
        <f t="shared" si="3"/>
        <v>74</v>
      </c>
      <c r="R3">
        <f t="shared" si="4"/>
        <v>51</v>
      </c>
      <c r="S3">
        <f t="shared" si="5"/>
        <v>12.749999999999995</v>
      </c>
      <c r="T3" s="7">
        <f t="shared" si="6"/>
        <v>0.24999999999999989</v>
      </c>
      <c r="V3" s="8">
        <f t="shared" si="7"/>
        <v>6</v>
      </c>
      <c r="W3" s="8">
        <f t="shared" si="8"/>
        <v>5.0399999999999956</v>
      </c>
      <c r="Y3">
        <f t="shared" si="9"/>
        <v>72</v>
      </c>
      <c r="Z3">
        <f t="shared" si="10"/>
        <v>17.999999999999993</v>
      </c>
      <c r="AA3" s="7">
        <f t="shared" si="11"/>
        <v>0.24999999999999989</v>
      </c>
      <c r="AC3" s="8">
        <f t="shared" si="12"/>
        <v>-15</v>
      </c>
      <c r="AD3" s="8">
        <f t="shared" si="13"/>
        <v>10.289999999999994</v>
      </c>
    </row>
    <row r="4" spans="1:30" x14ac:dyDescent="0.35">
      <c r="A4" s="2">
        <v>3</v>
      </c>
      <c r="B4" s="2" t="s">
        <v>345</v>
      </c>
      <c r="C4" s="2" t="s">
        <v>348</v>
      </c>
      <c r="D4" s="3">
        <v>6.85</v>
      </c>
      <c r="E4" s="3">
        <v>0.34</v>
      </c>
      <c r="F4" s="3">
        <v>0</v>
      </c>
      <c r="G4" s="3">
        <v>1.29</v>
      </c>
      <c r="H4" s="15">
        <v>8.4700000000000006</v>
      </c>
      <c r="I4" s="3">
        <v>51</v>
      </c>
      <c r="K4">
        <f t="shared" si="0"/>
        <v>6.5799999999999983</v>
      </c>
      <c r="L4" s="7">
        <f t="shared" si="1"/>
        <v>0.12901960784313724</v>
      </c>
      <c r="N4">
        <f t="shared" si="2"/>
        <v>72</v>
      </c>
      <c r="P4" s="8">
        <f t="shared" si="3"/>
        <v>72</v>
      </c>
      <c r="R4">
        <f t="shared" si="4"/>
        <v>47</v>
      </c>
      <c r="S4">
        <f t="shared" si="5"/>
        <v>11.759999999999996</v>
      </c>
      <c r="T4" s="7">
        <f t="shared" si="6"/>
        <v>0.25021276595744674</v>
      </c>
      <c r="V4" s="8">
        <f t="shared" si="7"/>
        <v>4</v>
      </c>
      <c r="W4" s="8">
        <f t="shared" si="8"/>
        <v>5.1799999999999979</v>
      </c>
      <c r="Y4">
        <f t="shared" si="9"/>
        <v>66</v>
      </c>
      <c r="Z4">
        <f t="shared" si="10"/>
        <v>16.449999999999996</v>
      </c>
      <c r="AA4" s="7">
        <f t="shared" si="11"/>
        <v>0.24924242424242418</v>
      </c>
      <c r="AC4" s="8">
        <f t="shared" si="12"/>
        <v>-15</v>
      </c>
      <c r="AD4" s="8">
        <f t="shared" si="13"/>
        <v>9.8699999999999974</v>
      </c>
    </row>
    <row r="5" spans="1:30" x14ac:dyDescent="0.35">
      <c r="A5" s="2">
        <v>4</v>
      </c>
      <c r="B5" s="2" t="s">
        <v>345</v>
      </c>
      <c r="C5" s="2" t="s">
        <v>349</v>
      </c>
      <c r="D5" s="3">
        <v>7.4</v>
      </c>
      <c r="E5" s="3">
        <v>0.34</v>
      </c>
      <c r="F5" s="3">
        <v>0</v>
      </c>
      <c r="G5" s="3">
        <v>1.29</v>
      </c>
      <c r="H5" s="15">
        <v>9.02</v>
      </c>
      <c r="I5" s="3">
        <v>54</v>
      </c>
      <c r="K5">
        <f t="shared" si="0"/>
        <v>7.0799999999999983</v>
      </c>
      <c r="L5" s="7">
        <f t="shared" si="1"/>
        <v>0.13111111111111107</v>
      </c>
      <c r="N5">
        <f t="shared" si="2"/>
        <v>73</v>
      </c>
      <c r="P5" s="8">
        <f t="shared" si="3"/>
        <v>73</v>
      </c>
      <c r="R5">
        <f t="shared" si="4"/>
        <v>49</v>
      </c>
      <c r="S5">
        <f t="shared" si="5"/>
        <v>12.189999999999998</v>
      </c>
      <c r="T5" s="7">
        <f t="shared" si="6"/>
        <v>0.24877551020408159</v>
      </c>
      <c r="V5" s="8">
        <f t="shared" si="7"/>
        <v>5</v>
      </c>
      <c r="W5" s="8">
        <f t="shared" si="8"/>
        <v>5.1099999999999994</v>
      </c>
      <c r="Y5">
        <f t="shared" si="9"/>
        <v>70</v>
      </c>
      <c r="Z5">
        <f t="shared" si="10"/>
        <v>17.579999999999998</v>
      </c>
      <c r="AA5" s="7">
        <f t="shared" si="11"/>
        <v>0.25114285714285711</v>
      </c>
      <c r="AC5" s="8">
        <f t="shared" si="12"/>
        <v>-16</v>
      </c>
      <c r="AD5" s="8">
        <f t="shared" si="13"/>
        <v>10.5</v>
      </c>
    </row>
    <row r="6" spans="1:30" x14ac:dyDescent="0.35">
      <c r="A6" s="2">
        <v>5</v>
      </c>
      <c r="B6" s="2" t="s">
        <v>345</v>
      </c>
      <c r="C6" s="2" t="s">
        <v>350</v>
      </c>
      <c r="D6" s="3">
        <v>6.94</v>
      </c>
      <c r="E6" s="3">
        <v>0.34</v>
      </c>
      <c r="F6" s="3">
        <v>0</v>
      </c>
      <c r="G6" s="3">
        <v>1.29</v>
      </c>
      <c r="H6" s="15">
        <v>8.57</v>
      </c>
      <c r="I6" s="3">
        <v>52</v>
      </c>
      <c r="K6">
        <f t="shared" si="0"/>
        <v>6.8299999999999983</v>
      </c>
      <c r="L6" s="7">
        <f t="shared" si="1"/>
        <v>0.13134615384615381</v>
      </c>
      <c r="N6">
        <f t="shared" si="2"/>
        <v>72</v>
      </c>
      <c r="P6" s="8">
        <f t="shared" si="3"/>
        <v>72</v>
      </c>
      <c r="R6">
        <f t="shared" si="4"/>
        <v>47</v>
      </c>
      <c r="S6">
        <f t="shared" si="5"/>
        <v>11.659999999999997</v>
      </c>
      <c r="T6" s="7">
        <f t="shared" si="6"/>
        <v>0.24808510638297865</v>
      </c>
      <c r="V6" s="8">
        <f t="shared" si="7"/>
        <v>5</v>
      </c>
      <c r="W6" s="8">
        <f t="shared" si="8"/>
        <v>4.8299999999999983</v>
      </c>
      <c r="Y6">
        <f t="shared" si="9"/>
        <v>67</v>
      </c>
      <c r="Z6">
        <f t="shared" si="10"/>
        <v>16.769999999999996</v>
      </c>
      <c r="AA6" s="7">
        <f t="shared" si="11"/>
        <v>0.2502985074626865</v>
      </c>
      <c r="AC6" s="8">
        <f t="shared" si="12"/>
        <v>-15</v>
      </c>
      <c r="AD6" s="8">
        <f t="shared" si="13"/>
        <v>9.9399999999999977</v>
      </c>
    </row>
    <row r="7" spans="1:30" x14ac:dyDescent="0.35">
      <c r="A7" s="2">
        <v>6</v>
      </c>
      <c r="B7" s="2" t="s">
        <v>345</v>
      </c>
      <c r="C7" s="2" t="s">
        <v>351</v>
      </c>
      <c r="D7" s="3">
        <v>3.47</v>
      </c>
      <c r="E7" s="3">
        <v>0.34</v>
      </c>
      <c r="F7" s="3">
        <v>0</v>
      </c>
      <c r="G7" s="3">
        <v>1.29</v>
      </c>
      <c r="H7" s="15">
        <v>5.09</v>
      </c>
      <c r="I7" s="3">
        <v>46</v>
      </c>
      <c r="K7">
        <f t="shared" si="0"/>
        <v>8.2099999999999991</v>
      </c>
      <c r="L7" s="7">
        <f t="shared" si="1"/>
        <v>0.1784782608695652</v>
      </c>
      <c r="N7">
        <f t="shared" si="2"/>
        <v>64</v>
      </c>
      <c r="P7" s="8">
        <f t="shared" si="3"/>
        <v>64</v>
      </c>
      <c r="R7">
        <f t="shared" si="4"/>
        <v>33</v>
      </c>
      <c r="S7">
        <f t="shared" si="5"/>
        <v>8.2799999999999976</v>
      </c>
      <c r="T7" s="7">
        <f t="shared" si="6"/>
        <v>0.25090909090909086</v>
      </c>
      <c r="V7" s="8">
        <f t="shared" si="7"/>
        <v>13</v>
      </c>
      <c r="W7" s="8">
        <f t="shared" si="8"/>
        <v>6.9999999999998508E-2</v>
      </c>
      <c r="Y7">
        <f t="shared" si="9"/>
        <v>46</v>
      </c>
      <c r="Z7">
        <f t="shared" si="10"/>
        <v>11.429999999999996</v>
      </c>
      <c r="AA7" s="7">
        <f t="shared" si="11"/>
        <v>0.24847826086956512</v>
      </c>
      <c r="AC7" s="8">
        <f t="shared" si="12"/>
        <v>0</v>
      </c>
      <c r="AD7" s="8">
        <f t="shared" si="13"/>
        <v>3.2199999999999971</v>
      </c>
    </row>
    <row r="8" spans="1:30" x14ac:dyDescent="0.35">
      <c r="A8" s="2">
        <v>7</v>
      </c>
      <c r="B8" s="2" t="s">
        <v>345</v>
      </c>
      <c r="C8" s="2" t="s">
        <v>352</v>
      </c>
      <c r="D8" s="3">
        <v>6.34</v>
      </c>
      <c r="E8" s="3">
        <v>0.34</v>
      </c>
      <c r="F8" s="3">
        <v>0</v>
      </c>
      <c r="G8" s="3">
        <v>1.29</v>
      </c>
      <c r="H8" s="15">
        <v>7.96</v>
      </c>
      <c r="I8" s="3">
        <v>51</v>
      </c>
      <c r="K8">
        <f t="shared" si="0"/>
        <v>7.089999999999999</v>
      </c>
      <c r="L8" s="7">
        <f t="shared" si="1"/>
        <v>0.13901960784313724</v>
      </c>
      <c r="N8">
        <f t="shared" si="2"/>
        <v>71</v>
      </c>
      <c r="P8" s="8">
        <f t="shared" si="3"/>
        <v>71</v>
      </c>
      <c r="R8">
        <f t="shared" si="4"/>
        <v>45</v>
      </c>
      <c r="S8">
        <f t="shared" si="5"/>
        <v>11.289999999999996</v>
      </c>
      <c r="T8" s="7">
        <f t="shared" si="6"/>
        <v>0.25088888888888877</v>
      </c>
      <c r="V8" s="8">
        <f t="shared" si="7"/>
        <v>6</v>
      </c>
      <c r="W8" s="8">
        <f t="shared" si="8"/>
        <v>4.1999999999999966</v>
      </c>
      <c r="Y8">
        <f t="shared" si="9"/>
        <v>63</v>
      </c>
      <c r="Z8">
        <f t="shared" si="10"/>
        <v>15.699999999999996</v>
      </c>
      <c r="AA8" s="7">
        <f t="shared" si="11"/>
        <v>0.24920634920634913</v>
      </c>
      <c r="AC8" s="8">
        <f t="shared" si="12"/>
        <v>-12</v>
      </c>
      <c r="AD8" s="8">
        <f t="shared" si="13"/>
        <v>8.6099999999999959</v>
      </c>
    </row>
    <row r="9" spans="1:30" x14ac:dyDescent="0.35">
      <c r="A9" s="2">
        <v>8</v>
      </c>
      <c r="B9" s="2" t="s">
        <v>345</v>
      </c>
      <c r="C9" s="2" t="s">
        <v>353</v>
      </c>
      <c r="D9" s="3">
        <v>7.14</v>
      </c>
      <c r="E9" s="3">
        <v>0.34</v>
      </c>
      <c r="F9" s="3">
        <v>0</v>
      </c>
      <c r="G9" s="3">
        <v>1.29</v>
      </c>
      <c r="H9" s="15">
        <v>8.77</v>
      </c>
      <c r="I9" s="3">
        <v>53</v>
      </c>
      <c r="K9">
        <f t="shared" si="0"/>
        <v>6.9799999999999986</v>
      </c>
      <c r="L9" s="7">
        <f t="shared" si="1"/>
        <v>0.13169811320754715</v>
      </c>
      <c r="N9">
        <f t="shared" si="2"/>
        <v>72</v>
      </c>
      <c r="P9" s="8">
        <f t="shared" si="3"/>
        <v>72</v>
      </c>
      <c r="R9">
        <f t="shared" si="4"/>
        <v>48</v>
      </c>
      <c r="S9">
        <f t="shared" si="5"/>
        <v>11.949999999999996</v>
      </c>
      <c r="T9" s="7">
        <f t="shared" si="6"/>
        <v>0.24895833333333325</v>
      </c>
      <c r="V9" s="8">
        <f t="shared" si="7"/>
        <v>5</v>
      </c>
      <c r="W9" s="8">
        <f t="shared" si="8"/>
        <v>4.9699999999999971</v>
      </c>
      <c r="Y9">
        <f t="shared" si="9"/>
        <v>68</v>
      </c>
      <c r="Z9">
        <f t="shared" si="10"/>
        <v>16.989999999999998</v>
      </c>
      <c r="AA9" s="7">
        <f t="shared" si="11"/>
        <v>0.24985294117647056</v>
      </c>
      <c r="AC9" s="8">
        <f t="shared" si="12"/>
        <v>-15</v>
      </c>
      <c r="AD9" s="8">
        <f t="shared" si="13"/>
        <v>10.01</v>
      </c>
    </row>
    <row r="10" spans="1:30" x14ac:dyDescent="0.35">
      <c r="A10" s="2">
        <v>9</v>
      </c>
      <c r="B10" s="2" t="s">
        <v>345</v>
      </c>
      <c r="C10" s="2" t="s">
        <v>354</v>
      </c>
      <c r="D10" s="3">
        <v>7.63</v>
      </c>
      <c r="E10" s="3">
        <v>0.34</v>
      </c>
      <c r="F10" s="3">
        <v>0</v>
      </c>
      <c r="G10" s="3">
        <v>1.29</v>
      </c>
      <c r="H10" s="15">
        <v>9.26</v>
      </c>
      <c r="I10" s="3">
        <v>56</v>
      </c>
      <c r="K10">
        <f t="shared" si="0"/>
        <v>7.5399999999999974</v>
      </c>
      <c r="L10" s="7">
        <f t="shared" si="1"/>
        <v>0.13464285714285709</v>
      </c>
      <c r="N10">
        <f t="shared" si="2"/>
        <v>73</v>
      </c>
      <c r="P10" s="8">
        <f t="shared" si="3"/>
        <v>73</v>
      </c>
      <c r="R10">
        <f t="shared" si="4"/>
        <v>50</v>
      </c>
      <c r="S10">
        <f t="shared" si="5"/>
        <v>12.44</v>
      </c>
      <c r="T10" s="7">
        <f t="shared" si="6"/>
        <v>0.24879999999999999</v>
      </c>
      <c r="V10" s="8">
        <f t="shared" si="7"/>
        <v>6</v>
      </c>
      <c r="W10" s="8">
        <f t="shared" si="8"/>
        <v>4.9000000000000021</v>
      </c>
      <c r="Y10">
        <f t="shared" si="9"/>
        <v>71</v>
      </c>
      <c r="Z10">
        <f t="shared" si="10"/>
        <v>17.759999999999998</v>
      </c>
      <c r="AA10" s="7">
        <f t="shared" si="11"/>
        <v>0.2501408450704225</v>
      </c>
      <c r="AC10" s="8">
        <f t="shared" si="12"/>
        <v>-15</v>
      </c>
      <c r="AD10" s="8">
        <f t="shared" si="13"/>
        <v>10.220000000000001</v>
      </c>
    </row>
    <row r="11" spans="1:30" x14ac:dyDescent="0.35">
      <c r="A11" s="2">
        <v>10</v>
      </c>
      <c r="B11" s="2" t="s">
        <v>345</v>
      </c>
      <c r="C11" s="2" t="s">
        <v>355</v>
      </c>
      <c r="D11" s="3">
        <v>6.44</v>
      </c>
      <c r="E11" s="3">
        <v>0.34</v>
      </c>
      <c r="F11" s="3">
        <v>0</v>
      </c>
      <c r="G11" s="3">
        <v>1.29</v>
      </c>
      <c r="H11" s="15">
        <v>8.06</v>
      </c>
      <c r="I11" s="3">
        <v>50</v>
      </c>
      <c r="K11">
        <f t="shared" si="0"/>
        <v>6.6399999999999988</v>
      </c>
      <c r="L11" s="7">
        <f t="shared" si="1"/>
        <v>0.13279999999999997</v>
      </c>
      <c r="N11">
        <f t="shared" si="2"/>
        <v>71</v>
      </c>
      <c r="P11" s="8">
        <f t="shared" si="3"/>
        <v>71</v>
      </c>
      <c r="R11">
        <f t="shared" si="4"/>
        <v>45</v>
      </c>
      <c r="S11">
        <f t="shared" si="5"/>
        <v>11.189999999999996</v>
      </c>
      <c r="T11" s="7">
        <f t="shared" si="6"/>
        <v>0.24866666666666656</v>
      </c>
      <c r="V11" s="8">
        <f t="shared" si="7"/>
        <v>5</v>
      </c>
      <c r="W11" s="8">
        <f t="shared" si="8"/>
        <v>4.5499999999999972</v>
      </c>
      <c r="Y11">
        <f t="shared" si="9"/>
        <v>64</v>
      </c>
      <c r="Z11">
        <f t="shared" si="10"/>
        <v>16.019999999999996</v>
      </c>
      <c r="AA11" s="7">
        <f t="shared" si="11"/>
        <v>0.25031249999999994</v>
      </c>
      <c r="AC11" s="8">
        <f t="shared" si="12"/>
        <v>-14</v>
      </c>
      <c r="AD11" s="8">
        <f t="shared" si="13"/>
        <v>9.3799999999999972</v>
      </c>
    </row>
    <row r="12" spans="1:30" x14ac:dyDescent="0.35">
      <c r="A12" s="2">
        <v>11</v>
      </c>
      <c r="B12" s="2" t="s">
        <v>345</v>
      </c>
      <c r="C12" s="2" t="s">
        <v>356</v>
      </c>
      <c r="D12" s="3">
        <v>7.17</v>
      </c>
      <c r="E12" s="3">
        <v>0.34</v>
      </c>
      <c r="F12" s="3">
        <v>0</v>
      </c>
      <c r="G12" s="3">
        <v>1.29</v>
      </c>
      <c r="H12" s="15">
        <v>8.8000000000000007</v>
      </c>
      <c r="I12" s="3">
        <v>53</v>
      </c>
      <c r="K12">
        <f t="shared" si="0"/>
        <v>6.9499999999999975</v>
      </c>
      <c r="L12" s="7">
        <f t="shared" si="1"/>
        <v>0.13113207547169806</v>
      </c>
      <c r="N12">
        <f t="shared" si="2"/>
        <v>72</v>
      </c>
      <c r="P12" s="8">
        <f t="shared" si="3"/>
        <v>72</v>
      </c>
      <c r="R12">
        <f t="shared" si="4"/>
        <v>48</v>
      </c>
      <c r="S12">
        <f t="shared" si="5"/>
        <v>11.919999999999995</v>
      </c>
      <c r="T12" s="7">
        <f t="shared" si="6"/>
        <v>0.24833333333333321</v>
      </c>
      <c r="V12" s="8">
        <f t="shared" si="7"/>
        <v>5</v>
      </c>
      <c r="W12" s="8">
        <f t="shared" si="8"/>
        <v>4.9699999999999971</v>
      </c>
      <c r="Y12">
        <f t="shared" si="9"/>
        <v>68</v>
      </c>
      <c r="Z12">
        <f t="shared" si="10"/>
        <v>16.959999999999997</v>
      </c>
      <c r="AA12" s="7">
        <f t="shared" si="11"/>
        <v>0.24941176470588231</v>
      </c>
      <c r="AC12" s="8">
        <f t="shared" si="12"/>
        <v>-15</v>
      </c>
      <c r="AD12" s="8">
        <f t="shared" si="13"/>
        <v>10.01</v>
      </c>
    </row>
    <row r="13" spans="1:30" x14ac:dyDescent="0.35">
      <c r="A13" s="2">
        <v>12</v>
      </c>
      <c r="B13" s="2" t="s">
        <v>357</v>
      </c>
      <c r="C13" s="2" t="s">
        <v>358</v>
      </c>
      <c r="D13" s="3">
        <v>3.3</v>
      </c>
      <c r="E13" s="3">
        <v>0.34</v>
      </c>
      <c r="F13" s="3">
        <v>0</v>
      </c>
      <c r="G13" s="3">
        <v>1.29</v>
      </c>
      <c r="H13" s="15">
        <v>4.92</v>
      </c>
      <c r="I13" s="3">
        <v>58</v>
      </c>
      <c r="K13">
        <f t="shared" si="0"/>
        <v>12.58</v>
      </c>
      <c r="L13" s="7">
        <f t="shared" si="1"/>
        <v>0.21689655172413794</v>
      </c>
      <c r="N13">
        <f t="shared" si="2"/>
        <v>64</v>
      </c>
      <c r="P13" s="8">
        <f t="shared" si="3"/>
        <v>64</v>
      </c>
      <c r="R13">
        <f t="shared" si="4"/>
        <v>32</v>
      </c>
      <c r="S13">
        <f t="shared" si="5"/>
        <v>7.9599999999999991</v>
      </c>
      <c r="T13" s="7">
        <f t="shared" si="6"/>
        <v>0.24874999999999997</v>
      </c>
      <c r="V13" s="8">
        <f t="shared" si="7"/>
        <v>26</v>
      </c>
      <c r="W13" s="8">
        <f t="shared" si="8"/>
        <v>-4.620000000000001</v>
      </c>
      <c r="Y13">
        <f t="shared" si="9"/>
        <v>45</v>
      </c>
      <c r="Z13">
        <f t="shared" si="10"/>
        <v>11.179999999999998</v>
      </c>
      <c r="AA13" s="7">
        <f t="shared" si="11"/>
        <v>0.24844444444444441</v>
      </c>
      <c r="AC13" s="8">
        <f t="shared" si="12"/>
        <v>13</v>
      </c>
      <c r="AD13" s="8">
        <f t="shared" si="13"/>
        <v>-1.4000000000000021</v>
      </c>
    </row>
    <row r="14" spans="1:30" x14ac:dyDescent="0.35">
      <c r="A14" s="2">
        <v>13</v>
      </c>
      <c r="B14" s="2" t="s">
        <v>357</v>
      </c>
      <c r="C14" s="2" t="s">
        <v>359</v>
      </c>
      <c r="D14" s="3">
        <v>7.91</v>
      </c>
      <c r="E14" s="3">
        <v>0.34</v>
      </c>
      <c r="F14" s="3">
        <v>0</v>
      </c>
      <c r="G14" s="3">
        <v>1.29</v>
      </c>
      <c r="H14" s="15">
        <v>9.5399999999999991</v>
      </c>
      <c r="I14" s="3">
        <v>62</v>
      </c>
      <c r="K14">
        <f t="shared" si="0"/>
        <v>10.059999999999999</v>
      </c>
      <c r="L14" s="7">
        <f t="shared" si="1"/>
        <v>0.16225806451612901</v>
      </c>
      <c r="N14">
        <f t="shared" si="2"/>
        <v>74</v>
      </c>
      <c r="P14" s="8">
        <f t="shared" si="3"/>
        <v>74</v>
      </c>
      <c r="R14">
        <f t="shared" si="4"/>
        <v>51</v>
      </c>
      <c r="S14">
        <f t="shared" si="5"/>
        <v>12.649999999999995</v>
      </c>
      <c r="T14" s="7">
        <f t="shared" si="6"/>
        <v>0.24803921568627441</v>
      </c>
      <c r="V14" s="8">
        <f t="shared" si="7"/>
        <v>11</v>
      </c>
      <c r="W14" s="8">
        <f t="shared" si="8"/>
        <v>2.5899999999999963</v>
      </c>
      <c r="Y14">
        <f t="shared" si="9"/>
        <v>73</v>
      </c>
      <c r="Z14">
        <f t="shared" si="10"/>
        <v>18.319999999999997</v>
      </c>
      <c r="AA14" s="7">
        <f t="shared" si="11"/>
        <v>0.25095890410958899</v>
      </c>
      <c r="AC14" s="8">
        <f t="shared" si="12"/>
        <v>-11</v>
      </c>
      <c r="AD14" s="8">
        <f t="shared" si="13"/>
        <v>8.259999999999998</v>
      </c>
    </row>
    <row r="15" spans="1:30" x14ac:dyDescent="0.35">
      <c r="A15" s="2">
        <v>14</v>
      </c>
      <c r="B15" s="2" t="s">
        <v>357</v>
      </c>
      <c r="C15" s="2" t="s">
        <v>360</v>
      </c>
      <c r="D15" s="3">
        <v>5.01</v>
      </c>
      <c r="E15" s="3">
        <v>0.34</v>
      </c>
      <c r="F15" s="3">
        <v>0</v>
      </c>
      <c r="G15" s="3">
        <v>1.29</v>
      </c>
      <c r="H15" s="15">
        <v>6.63</v>
      </c>
      <c r="I15" s="2">
        <v>48</v>
      </c>
      <c r="K15">
        <f t="shared" si="0"/>
        <v>7.37</v>
      </c>
      <c r="L15" s="7">
        <f t="shared" si="1"/>
        <v>0.15354166666666666</v>
      </c>
      <c r="N15">
        <f t="shared" si="2"/>
        <v>68</v>
      </c>
      <c r="P15" s="8">
        <f t="shared" si="3"/>
        <v>68</v>
      </c>
      <c r="R15">
        <f t="shared" si="4"/>
        <v>39</v>
      </c>
      <c r="S15">
        <f t="shared" si="5"/>
        <v>9.68</v>
      </c>
      <c r="T15" s="7">
        <f t="shared" si="6"/>
        <v>0.24820512820512819</v>
      </c>
      <c r="V15" s="8">
        <f t="shared" si="7"/>
        <v>9</v>
      </c>
      <c r="W15" s="8">
        <f t="shared" si="8"/>
        <v>2.3099999999999996</v>
      </c>
      <c r="Y15">
        <f t="shared" si="9"/>
        <v>55</v>
      </c>
      <c r="Z15">
        <f t="shared" si="10"/>
        <v>13.669999999999998</v>
      </c>
      <c r="AA15" s="7">
        <f t="shared" si="11"/>
        <v>0.24854545454545451</v>
      </c>
      <c r="AC15" s="8">
        <f t="shared" si="12"/>
        <v>-7</v>
      </c>
      <c r="AD15" s="8">
        <f t="shared" si="13"/>
        <v>6.299999999999998</v>
      </c>
    </row>
    <row r="16" spans="1:30" x14ac:dyDescent="0.35">
      <c r="A16" s="2">
        <v>15</v>
      </c>
      <c r="B16" s="2" t="s">
        <v>357</v>
      </c>
      <c r="C16" s="2" t="s">
        <v>361</v>
      </c>
      <c r="D16" s="3">
        <v>10.02</v>
      </c>
      <c r="E16" s="3">
        <v>0.34</v>
      </c>
      <c r="F16" s="3">
        <v>0</v>
      </c>
      <c r="G16" s="3">
        <v>1.29</v>
      </c>
      <c r="H16" s="15">
        <v>11.64</v>
      </c>
      <c r="I16" s="2">
        <v>82</v>
      </c>
      <c r="K16">
        <f t="shared" si="0"/>
        <v>21.959999999999994</v>
      </c>
      <c r="L16" s="7">
        <f t="shared" si="1"/>
        <v>0.26780487804878039</v>
      </c>
      <c r="N16">
        <f t="shared" si="2"/>
        <v>79</v>
      </c>
      <c r="P16" s="8">
        <f t="shared" si="3"/>
        <v>82</v>
      </c>
      <c r="R16">
        <f t="shared" si="4"/>
        <v>60</v>
      </c>
      <c r="S16">
        <f t="shared" si="5"/>
        <v>14.959999999999997</v>
      </c>
      <c r="T16" s="7">
        <f t="shared" si="6"/>
        <v>0.2493333333333333</v>
      </c>
      <c r="V16" s="8">
        <f t="shared" si="7"/>
        <v>22</v>
      </c>
      <c r="W16" s="8">
        <f t="shared" si="8"/>
        <v>-6.9999999999999964</v>
      </c>
      <c r="Y16">
        <f t="shared" si="9"/>
        <v>85</v>
      </c>
      <c r="Z16">
        <f t="shared" si="10"/>
        <v>21.259999999999998</v>
      </c>
      <c r="AA16" s="7">
        <f t="shared" si="11"/>
        <v>0.2501176470588235</v>
      </c>
      <c r="AC16" s="8">
        <f t="shared" si="12"/>
        <v>-3</v>
      </c>
      <c r="AD16" s="8">
        <f t="shared" si="13"/>
        <v>-0.69999999999999574</v>
      </c>
    </row>
    <row r="17" spans="1:30" x14ac:dyDescent="0.35">
      <c r="A17" s="2">
        <v>16</v>
      </c>
      <c r="B17" s="2" t="s">
        <v>357</v>
      </c>
      <c r="C17" s="2" t="s">
        <v>362</v>
      </c>
      <c r="D17" s="3">
        <v>15.03</v>
      </c>
      <c r="E17" s="3">
        <v>0.34</v>
      </c>
      <c r="F17" s="3">
        <v>0</v>
      </c>
      <c r="G17" s="3">
        <v>1.98</v>
      </c>
      <c r="H17" s="15">
        <v>17.34</v>
      </c>
      <c r="I17" s="2">
        <v>108</v>
      </c>
      <c r="K17">
        <f t="shared" si="0"/>
        <v>34.459999999999994</v>
      </c>
      <c r="L17" s="7">
        <f t="shared" si="1"/>
        <v>0.31907407407407401</v>
      </c>
      <c r="N17">
        <f t="shared" si="2"/>
        <v>91</v>
      </c>
      <c r="P17" s="8">
        <f t="shared" si="3"/>
        <v>108</v>
      </c>
      <c r="R17">
        <f t="shared" si="4"/>
        <v>84</v>
      </c>
      <c r="S17">
        <f t="shared" si="5"/>
        <v>21.019999999999992</v>
      </c>
      <c r="T17" s="7">
        <f t="shared" si="6"/>
        <v>0.25023809523809515</v>
      </c>
      <c r="V17" s="8">
        <f t="shared" si="7"/>
        <v>24</v>
      </c>
      <c r="W17" s="8">
        <f t="shared" si="8"/>
        <v>-13.440000000000001</v>
      </c>
      <c r="Y17">
        <f t="shared" si="9"/>
        <v>118</v>
      </c>
      <c r="Z17">
        <f t="shared" si="10"/>
        <v>29.419999999999998</v>
      </c>
      <c r="AA17" s="7">
        <f t="shared" si="11"/>
        <v>0.24932203389830507</v>
      </c>
      <c r="AC17" s="8">
        <f t="shared" si="12"/>
        <v>-10</v>
      </c>
      <c r="AD17" s="8">
        <f t="shared" si="13"/>
        <v>-5.0399999999999956</v>
      </c>
    </row>
    <row r="18" spans="1:30" x14ac:dyDescent="0.35">
      <c r="A18" s="2">
        <v>17</v>
      </c>
      <c r="B18" s="2" t="s">
        <v>357</v>
      </c>
      <c r="C18" s="2" t="s">
        <v>363</v>
      </c>
      <c r="D18" s="3">
        <v>9.19</v>
      </c>
      <c r="E18" s="3">
        <v>0.34</v>
      </c>
      <c r="F18" s="3">
        <v>0</v>
      </c>
      <c r="G18" s="3">
        <v>1.29</v>
      </c>
      <c r="H18" s="15">
        <v>10.81</v>
      </c>
      <c r="I18" s="3">
        <v>69</v>
      </c>
      <c r="K18">
        <f t="shared" si="0"/>
        <v>13.69</v>
      </c>
      <c r="L18" s="7">
        <f t="shared" si="1"/>
        <v>0.19840579710144926</v>
      </c>
      <c r="N18">
        <f t="shared" si="2"/>
        <v>77</v>
      </c>
      <c r="P18" s="8">
        <f t="shared" si="3"/>
        <v>77</v>
      </c>
      <c r="R18">
        <f t="shared" si="4"/>
        <v>57</v>
      </c>
      <c r="S18">
        <f t="shared" si="5"/>
        <v>14.319999999999999</v>
      </c>
      <c r="T18" s="7">
        <f t="shared" si="6"/>
        <v>0.25122807017543858</v>
      </c>
      <c r="V18" s="8">
        <f t="shared" si="7"/>
        <v>12</v>
      </c>
      <c r="W18" s="8">
        <f t="shared" si="8"/>
        <v>0.62999999999999901</v>
      </c>
      <c r="Y18">
        <f t="shared" si="9"/>
        <v>80</v>
      </c>
      <c r="Z18">
        <f t="shared" si="10"/>
        <v>19.989999999999995</v>
      </c>
      <c r="AA18" s="7">
        <f t="shared" si="11"/>
        <v>0.24987499999999993</v>
      </c>
      <c r="AC18" s="8">
        <f t="shared" si="12"/>
        <v>-11</v>
      </c>
      <c r="AD18" s="8">
        <f t="shared" si="13"/>
        <v>6.2999999999999954</v>
      </c>
    </row>
    <row r="19" spans="1:30" x14ac:dyDescent="0.35">
      <c r="A19" s="2">
        <v>18</v>
      </c>
      <c r="B19" s="2" t="s">
        <v>357</v>
      </c>
      <c r="C19" s="2" t="s">
        <v>364</v>
      </c>
      <c r="D19" s="3">
        <v>18.38</v>
      </c>
      <c r="E19" s="3">
        <v>0.34</v>
      </c>
      <c r="F19" s="3">
        <v>0</v>
      </c>
      <c r="G19" s="3">
        <v>1.98</v>
      </c>
      <c r="H19" s="15">
        <v>20.7</v>
      </c>
      <c r="I19" s="3">
        <v>118</v>
      </c>
      <c r="K19">
        <f t="shared" si="0"/>
        <v>38.099999999999994</v>
      </c>
      <c r="L19" s="7">
        <f t="shared" si="1"/>
        <v>0.32288135593220335</v>
      </c>
      <c r="N19">
        <f t="shared" si="2"/>
        <v>99</v>
      </c>
      <c r="P19" s="8">
        <f t="shared" si="3"/>
        <v>118</v>
      </c>
      <c r="R19">
        <f t="shared" si="4"/>
        <v>98</v>
      </c>
      <c r="S19">
        <f t="shared" si="5"/>
        <v>24.519999999999992</v>
      </c>
      <c r="T19" s="7">
        <f t="shared" si="6"/>
        <v>0.25020408163265301</v>
      </c>
      <c r="V19" s="8">
        <f t="shared" si="7"/>
        <v>20</v>
      </c>
      <c r="W19" s="8">
        <f t="shared" si="8"/>
        <v>-13.580000000000002</v>
      </c>
      <c r="Y19">
        <f t="shared" si="9"/>
        <v>138</v>
      </c>
      <c r="Z19">
        <f t="shared" si="10"/>
        <v>34.459999999999994</v>
      </c>
      <c r="AA19" s="7">
        <f t="shared" si="11"/>
        <v>0.24971014492753618</v>
      </c>
      <c r="AC19" s="8">
        <f t="shared" si="12"/>
        <v>-20</v>
      </c>
      <c r="AD19" s="8">
        <f t="shared" si="13"/>
        <v>-3.6400000000000006</v>
      </c>
    </row>
    <row r="20" spans="1:30" x14ac:dyDescent="0.35">
      <c r="A20" s="2">
        <v>19</v>
      </c>
      <c r="B20" s="2" t="s">
        <v>357</v>
      </c>
      <c r="C20" s="2" t="s">
        <v>365</v>
      </c>
      <c r="D20" s="3">
        <v>7.43</v>
      </c>
      <c r="E20" s="3">
        <v>0.34</v>
      </c>
      <c r="F20" s="3">
        <v>0</v>
      </c>
      <c r="G20" s="3">
        <v>1.29</v>
      </c>
      <c r="H20" s="15">
        <v>9.06</v>
      </c>
      <c r="I20" s="3">
        <v>59</v>
      </c>
      <c r="K20">
        <f t="shared" si="0"/>
        <v>8.7899999999999974</v>
      </c>
      <c r="L20" s="7">
        <f t="shared" si="1"/>
        <v>0.14898305084745758</v>
      </c>
      <c r="N20">
        <f t="shared" si="2"/>
        <v>73</v>
      </c>
      <c r="P20" s="8">
        <f t="shared" si="3"/>
        <v>73</v>
      </c>
      <c r="R20">
        <f t="shared" si="4"/>
        <v>49</v>
      </c>
      <c r="S20">
        <f t="shared" si="5"/>
        <v>12.149999999999997</v>
      </c>
      <c r="T20" s="7">
        <f t="shared" si="6"/>
        <v>0.24795918367346934</v>
      </c>
      <c r="V20" s="8">
        <f t="shared" si="7"/>
        <v>10</v>
      </c>
      <c r="W20" s="8">
        <f t="shared" si="8"/>
        <v>3.3599999999999994</v>
      </c>
      <c r="Y20">
        <f t="shared" si="9"/>
        <v>70</v>
      </c>
      <c r="Z20">
        <f t="shared" si="10"/>
        <v>17.54</v>
      </c>
      <c r="AA20" s="7">
        <f t="shared" si="11"/>
        <v>0.25057142857142856</v>
      </c>
      <c r="AC20" s="8">
        <f t="shared" si="12"/>
        <v>-11</v>
      </c>
      <c r="AD20" s="8">
        <f t="shared" si="13"/>
        <v>8.7500000000000018</v>
      </c>
    </row>
    <row r="21" spans="1:30" x14ac:dyDescent="0.35">
      <c r="A21" s="2">
        <v>20</v>
      </c>
      <c r="B21" s="2" t="s">
        <v>357</v>
      </c>
      <c r="C21" s="2" t="s">
        <v>366</v>
      </c>
      <c r="D21" s="3">
        <v>7.63</v>
      </c>
      <c r="E21" s="3">
        <v>0.34</v>
      </c>
      <c r="F21" s="3">
        <v>0</v>
      </c>
      <c r="G21" s="3">
        <v>1.29</v>
      </c>
      <c r="H21" s="15">
        <v>9.26</v>
      </c>
      <c r="I21" s="3">
        <v>60</v>
      </c>
      <c r="K21">
        <f t="shared" si="0"/>
        <v>8.94</v>
      </c>
      <c r="L21" s="7">
        <f t="shared" si="1"/>
        <v>0.14899999999999999</v>
      </c>
      <c r="N21">
        <f t="shared" si="2"/>
        <v>73</v>
      </c>
      <c r="P21" s="8">
        <f t="shared" si="3"/>
        <v>73</v>
      </c>
      <c r="R21">
        <f t="shared" si="4"/>
        <v>50</v>
      </c>
      <c r="S21">
        <f t="shared" si="5"/>
        <v>12.44</v>
      </c>
      <c r="T21" s="7">
        <f t="shared" si="6"/>
        <v>0.24879999999999999</v>
      </c>
      <c r="V21" s="8">
        <f t="shared" si="7"/>
        <v>10</v>
      </c>
      <c r="W21" s="8">
        <f t="shared" si="8"/>
        <v>3.5</v>
      </c>
      <c r="Y21">
        <f t="shared" si="9"/>
        <v>71</v>
      </c>
      <c r="Z21">
        <f t="shared" si="10"/>
        <v>17.759999999999998</v>
      </c>
      <c r="AA21" s="7">
        <f t="shared" si="11"/>
        <v>0.2501408450704225</v>
      </c>
      <c r="AC21" s="8">
        <f t="shared" si="12"/>
        <v>-11</v>
      </c>
      <c r="AD21" s="8">
        <f t="shared" si="13"/>
        <v>8.8199999999999985</v>
      </c>
    </row>
    <row r="22" spans="1:30" x14ac:dyDescent="0.35">
      <c r="A22" s="2">
        <v>21</v>
      </c>
      <c r="B22" s="2" t="s">
        <v>357</v>
      </c>
      <c r="C22" s="2" t="s">
        <v>367</v>
      </c>
      <c r="D22" s="3">
        <v>7.45</v>
      </c>
      <c r="E22" s="3">
        <v>0.34</v>
      </c>
      <c r="F22" s="3">
        <v>0</v>
      </c>
      <c r="G22" s="3">
        <v>1.29</v>
      </c>
      <c r="H22" s="15">
        <v>9.08</v>
      </c>
      <c r="I22" s="3">
        <v>59</v>
      </c>
      <c r="K22">
        <f t="shared" si="0"/>
        <v>8.7699999999999978</v>
      </c>
      <c r="L22" s="7">
        <f t="shared" si="1"/>
        <v>0.14864406779661013</v>
      </c>
      <c r="N22">
        <f t="shared" si="2"/>
        <v>73</v>
      </c>
      <c r="P22" s="8">
        <f t="shared" si="3"/>
        <v>73</v>
      </c>
      <c r="R22">
        <f t="shared" si="4"/>
        <v>50</v>
      </c>
      <c r="S22">
        <f t="shared" si="5"/>
        <v>12.62</v>
      </c>
      <c r="T22" s="7">
        <f t="shared" si="6"/>
        <v>0.25239999999999996</v>
      </c>
      <c r="V22" s="8">
        <f t="shared" si="7"/>
        <v>9</v>
      </c>
      <c r="W22" s="8">
        <f t="shared" si="8"/>
        <v>3.8500000000000014</v>
      </c>
      <c r="Y22">
        <f t="shared" si="9"/>
        <v>70</v>
      </c>
      <c r="Z22">
        <f t="shared" si="10"/>
        <v>17.519999999999996</v>
      </c>
      <c r="AA22" s="7">
        <f t="shared" si="11"/>
        <v>0.25028571428571422</v>
      </c>
      <c r="AC22" s="8">
        <f t="shared" si="12"/>
        <v>-11</v>
      </c>
      <c r="AD22" s="8">
        <f t="shared" si="13"/>
        <v>8.7499999999999982</v>
      </c>
    </row>
    <row r="23" spans="1:30" x14ac:dyDescent="0.35">
      <c r="A23" s="2">
        <v>22</v>
      </c>
      <c r="B23" s="2" t="s">
        <v>357</v>
      </c>
      <c r="C23" s="2" t="s">
        <v>368</v>
      </c>
      <c r="D23" s="3">
        <v>7.91</v>
      </c>
      <c r="E23" s="3">
        <v>0.34</v>
      </c>
      <c r="F23" s="3">
        <v>0</v>
      </c>
      <c r="G23" s="3">
        <v>1.29</v>
      </c>
      <c r="H23" s="15">
        <v>9.5399999999999991</v>
      </c>
      <c r="I23" s="3">
        <v>62</v>
      </c>
      <c r="K23">
        <f t="shared" si="0"/>
        <v>10.059999999999999</v>
      </c>
      <c r="L23" s="7">
        <f t="shared" si="1"/>
        <v>0.16225806451612901</v>
      </c>
      <c r="N23">
        <f t="shared" si="2"/>
        <v>74</v>
      </c>
      <c r="P23" s="8">
        <f t="shared" si="3"/>
        <v>74</v>
      </c>
      <c r="R23">
        <f t="shared" si="4"/>
        <v>51</v>
      </c>
      <c r="S23">
        <f t="shared" si="5"/>
        <v>12.649999999999995</v>
      </c>
      <c r="T23" s="7">
        <f t="shared" si="6"/>
        <v>0.24803921568627441</v>
      </c>
      <c r="V23" s="8">
        <f t="shared" si="7"/>
        <v>11</v>
      </c>
      <c r="W23" s="8">
        <f t="shared" si="8"/>
        <v>2.5899999999999963</v>
      </c>
      <c r="Y23">
        <f t="shared" si="9"/>
        <v>73</v>
      </c>
      <c r="Z23">
        <f t="shared" si="10"/>
        <v>18.319999999999997</v>
      </c>
      <c r="AA23" s="7">
        <f t="shared" si="11"/>
        <v>0.25095890410958899</v>
      </c>
      <c r="AC23" s="8">
        <f t="shared" si="12"/>
        <v>-11</v>
      </c>
      <c r="AD23" s="8">
        <f t="shared" si="13"/>
        <v>8.259999999999998</v>
      </c>
    </row>
    <row r="24" spans="1:30" x14ac:dyDescent="0.35">
      <c r="A24" s="2">
        <v>23</v>
      </c>
      <c r="B24" s="2" t="s">
        <v>357</v>
      </c>
      <c r="C24" s="2" t="s">
        <v>369</v>
      </c>
      <c r="D24" s="3">
        <v>7.45</v>
      </c>
      <c r="E24" s="3">
        <v>0.34</v>
      </c>
      <c r="F24" s="3">
        <v>0</v>
      </c>
      <c r="G24" s="3">
        <v>1.29</v>
      </c>
      <c r="H24" s="15">
        <v>9.08</v>
      </c>
      <c r="I24" s="3">
        <v>56</v>
      </c>
      <c r="K24">
        <f t="shared" si="0"/>
        <v>7.7199999999999971</v>
      </c>
      <c r="L24" s="7">
        <f t="shared" si="1"/>
        <v>0.13785714285714282</v>
      </c>
      <c r="N24">
        <f t="shared" si="2"/>
        <v>73</v>
      </c>
      <c r="P24" s="8">
        <f t="shared" si="3"/>
        <v>73</v>
      </c>
      <c r="R24">
        <f t="shared" si="4"/>
        <v>50</v>
      </c>
      <c r="S24">
        <f t="shared" si="5"/>
        <v>12.62</v>
      </c>
      <c r="T24" s="7">
        <f t="shared" si="6"/>
        <v>0.25239999999999996</v>
      </c>
      <c r="V24" s="8">
        <f t="shared" si="7"/>
        <v>6</v>
      </c>
      <c r="W24" s="8">
        <f t="shared" si="8"/>
        <v>4.9000000000000021</v>
      </c>
      <c r="Y24">
        <f t="shared" si="9"/>
        <v>70</v>
      </c>
      <c r="Z24">
        <f t="shared" si="10"/>
        <v>17.519999999999996</v>
      </c>
      <c r="AA24" s="7">
        <f t="shared" si="11"/>
        <v>0.25028571428571422</v>
      </c>
      <c r="AC24" s="8">
        <f t="shared" si="12"/>
        <v>-14</v>
      </c>
      <c r="AD24" s="8">
        <f t="shared" si="13"/>
        <v>9.7999999999999989</v>
      </c>
    </row>
    <row r="25" spans="1:30" x14ac:dyDescent="0.35">
      <c r="A25" s="2">
        <v>25</v>
      </c>
      <c r="B25" s="2" t="s">
        <v>357</v>
      </c>
      <c r="C25" s="2" t="s">
        <v>370</v>
      </c>
      <c r="D25" s="3">
        <v>7.42</v>
      </c>
      <c r="E25" s="3">
        <v>0.34</v>
      </c>
      <c r="F25" s="3">
        <v>0</v>
      </c>
      <c r="G25" s="3">
        <v>1.29</v>
      </c>
      <c r="H25" s="15">
        <v>9.0500000000000007</v>
      </c>
      <c r="I25" s="3">
        <v>59</v>
      </c>
      <c r="K25">
        <f t="shared" si="0"/>
        <v>8.7999999999999972</v>
      </c>
      <c r="L25" s="7">
        <f t="shared" si="1"/>
        <v>0.14915254237288131</v>
      </c>
      <c r="N25">
        <f t="shared" si="2"/>
        <v>73</v>
      </c>
      <c r="P25" s="8">
        <f t="shared" si="3"/>
        <v>73</v>
      </c>
      <c r="R25">
        <f t="shared" si="4"/>
        <v>49</v>
      </c>
      <c r="S25">
        <f t="shared" si="5"/>
        <v>12.159999999999997</v>
      </c>
      <c r="T25" s="7">
        <f t="shared" si="6"/>
        <v>0.24816326530612237</v>
      </c>
      <c r="V25" s="8">
        <f t="shared" si="7"/>
        <v>10</v>
      </c>
      <c r="W25" s="8">
        <f t="shared" si="8"/>
        <v>3.3599999999999994</v>
      </c>
      <c r="Y25">
        <f t="shared" si="9"/>
        <v>70</v>
      </c>
      <c r="Z25">
        <f t="shared" si="10"/>
        <v>17.549999999999997</v>
      </c>
      <c r="AA25" s="7">
        <f t="shared" si="11"/>
        <v>0.25071428571428567</v>
      </c>
      <c r="AC25" s="8">
        <f t="shared" si="12"/>
        <v>-11</v>
      </c>
      <c r="AD25" s="8">
        <f t="shared" si="13"/>
        <v>8.75</v>
      </c>
    </row>
    <row r="26" spans="1:30" x14ac:dyDescent="0.35">
      <c r="A26" s="2">
        <v>26</v>
      </c>
      <c r="B26" s="2" t="s">
        <v>357</v>
      </c>
      <c r="C26" s="2" t="s">
        <v>371</v>
      </c>
      <c r="D26" s="3">
        <v>8.15</v>
      </c>
      <c r="E26" s="3">
        <v>0.34</v>
      </c>
      <c r="F26" s="3">
        <v>0</v>
      </c>
      <c r="G26" s="3">
        <v>1.29</v>
      </c>
      <c r="H26" s="15">
        <v>9.7799999999999994</v>
      </c>
      <c r="I26" s="3">
        <v>65</v>
      </c>
      <c r="K26">
        <f t="shared" si="0"/>
        <v>11.92</v>
      </c>
      <c r="L26" s="7">
        <f t="shared" si="1"/>
        <v>0.1833846153846154</v>
      </c>
      <c r="N26">
        <f t="shared" si="2"/>
        <v>75</v>
      </c>
      <c r="P26" s="8">
        <f t="shared" si="3"/>
        <v>75</v>
      </c>
      <c r="R26">
        <f t="shared" si="4"/>
        <v>52</v>
      </c>
      <c r="S26">
        <f t="shared" si="5"/>
        <v>12.899999999999997</v>
      </c>
      <c r="T26" s="7">
        <f t="shared" si="6"/>
        <v>0.24807692307692303</v>
      </c>
      <c r="V26" s="8">
        <f t="shared" si="7"/>
        <v>13</v>
      </c>
      <c r="W26" s="8">
        <f t="shared" si="8"/>
        <v>0.97999999999999687</v>
      </c>
      <c r="Y26">
        <f t="shared" si="9"/>
        <v>74</v>
      </c>
      <c r="Z26">
        <f t="shared" si="10"/>
        <v>18.5</v>
      </c>
      <c r="AA26" s="7">
        <f t="shared" si="11"/>
        <v>0.25</v>
      </c>
      <c r="AC26" s="8">
        <f t="shared" si="12"/>
        <v>-9</v>
      </c>
      <c r="AD26" s="8">
        <f t="shared" si="13"/>
        <v>6.58</v>
      </c>
    </row>
    <row r="27" spans="1:30" x14ac:dyDescent="0.35">
      <c r="A27" s="2">
        <v>27</v>
      </c>
      <c r="B27" s="2" t="s">
        <v>357</v>
      </c>
      <c r="C27" s="2" t="s">
        <v>372</v>
      </c>
      <c r="D27" s="3">
        <v>16.309999999999999</v>
      </c>
      <c r="E27" s="3">
        <v>0.34</v>
      </c>
      <c r="F27" s="3">
        <v>0</v>
      </c>
      <c r="G27" s="3">
        <v>1.98</v>
      </c>
      <c r="H27" s="15">
        <v>18.63</v>
      </c>
      <c r="I27" s="3">
        <v>110</v>
      </c>
      <c r="K27">
        <f t="shared" si="0"/>
        <v>34.569999999999993</v>
      </c>
      <c r="L27" s="7">
        <f t="shared" si="1"/>
        <v>0.3142727272727272</v>
      </c>
      <c r="N27">
        <f t="shared" si="2"/>
        <v>94</v>
      </c>
      <c r="P27" s="8">
        <f t="shared" si="3"/>
        <v>110</v>
      </c>
      <c r="R27">
        <f t="shared" si="4"/>
        <v>89</v>
      </c>
      <c r="S27">
        <f t="shared" si="5"/>
        <v>22.179999999999996</v>
      </c>
      <c r="T27" s="7">
        <f t="shared" si="6"/>
        <v>0.24921348314606737</v>
      </c>
      <c r="V27" s="8">
        <f t="shared" si="7"/>
        <v>21</v>
      </c>
      <c r="W27" s="8">
        <f t="shared" si="8"/>
        <v>-12.389999999999997</v>
      </c>
      <c r="Y27">
        <f t="shared" si="9"/>
        <v>126</v>
      </c>
      <c r="Z27">
        <f t="shared" si="10"/>
        <v>31.489999999999991</v>
      </c>
      <c r="AA27" s="7">
        <f t="shared" si="11"/>
        <v>0.24992063492063485</v>
      </c>
      <c r="AC27" s="8">
        <f t="shared" si="12"/>
        <v>-16</v>
      </c>
      <c r="AD27" s="8">
        <f t="shared" si="13"/>
        <v>-3.0800000000000018</v>
      </c>
    </row>
    <row r="28" spans="1:30" x14ac:dyDescent="0.35">
      <c r="A28" s="2">
        <v>28</v>
      </c>
      <c r="B28" s="2" t="s">
        <v>357</v>
      </c>
      <c r="C28" s="2" t="s">
        <v>373</v>
      </c>
      <c r="D28" s="3">
        <v>5.0999999999999996</v>
      </c>
      <c r="E28" s="3">
        <v>0.34</v>
      </c>
      <c r="F28" s="3">
        <v>0</v>
      </c>
      <c r="G28" s="3">
        <v>1.29</v>
      </c>
      <c r="H28" s="15">
        <v>6.72</v>
      </c>
      <c r="I28" s="3">
        <v>55</v>
      </c>
      <c r="K28">
        <f t="shared" si="0"/>
        <v>9.73</v>
      </c>
      <c r="L28" s="7">
        <f t="shared" si="1"/>
        <v>0.1769090909090909</v>
      </c>
      <c r="N28">
        <f t="shared" si="2"/>
        <v>68</v>
      </c>
      <c r="P28" s="8">
        <f t="shared" si="3"/>
        <v>68</v>
      </c>
      <c r="R28">
        <f t="shared" si="4"/>
        <v>40</v>
      </c>
      <c r="S28">
        <f t="shared" si="5"/>
        <v>10.079999999999998</v>
      </c>
      <c r="T28" s="7">
        <f t="shared" si="6"/>
        <v>0.25199999999999995</v>
      </c>
      <c r="V28" s="8">
        <f t="shared" si="7"/>
        <v>15</v>
      </c>
      <c r="W28" s="8">
        <f t="shared" si="8"/>
        <v>0.34999999999999787</v>
      </c>
      <c r="Y28">
        <f t="shared" si="9"/>
        <v>56</v>
      </c>
      <c r="Z28">
        <f t="shared" si="10"/>
        <v>14</v>
      </c>
      <c r="AA28" s="7">
        <f t="shared" si="11"/>
        <v>0.25</v>
      </c>
      <c r="AC28" s="8">
        <f t="shared" si="12"/>
        <v>-1</v>
      </c>
      <c r="AD28" s="8">
        <f t="shared" si="13"/>
        <v>4.2699999999999996</v>
      </c>
    </row>
    <row r="29" spans="1:30" x14ac:dyDescent="0.35">
      <c r="A29" s="2">
        <v>29</v>
      </c>
      <c r="B29" s="2" t="s">
        <v>357</v>
      </c>
      <c r="C29" s="2" t="s">
        <v>374</v>
      </c>
      <c r="D29" s="3">
        <v>6.05</v>
      </c>
      <c r="E29" s="3">
        <v>0.34</v>
      </c>
      <c r="F29" s="3">
        <v>0</v>
      </c>
      <c r="G29" s="3">
        <v>1.29</v>
      </c>
      <c r="H29" s="15">
        <v>7.67</v>
      </c>
      <c r="I29" s="3">
        <v>63</v>
      </c>
      <c r="K29">
        <f t="shared" si="0"/>
        <v>12.629999999999997</v>
      </c>
      <c r="L29" s="7">
        <f t="shared" si="1"/>
        <v>0.20047619047619042</v>
      </c>
      <c r="N29">
        <f t="shared" si="2"/>
        <v>70</v>
      </c>
      <c r="P29" s="8">
        <f t="shared" si="3"/>
        <v>70</v>
      </c>
      <c r="R29">
        <f t="shared" si="4"/>
        <v>44</v>
      </c>
      <c r="S29">
        <f t="shared" si="5"/>
        <v>11.089999999999998</v>
      </c>
      <c r="T29" s="7">
        <f t="shared" si="6"/>
        <v>0.25204545454545452</v>
      </c>
      <c r="V29" s="8">
        <f t="shared" si="7"/>
        <v>19</v>
      </c>
      <c r="W29" s="8">
        <f t="shared" si="8"/>
        <v>-1.5399999999999991</v>
      </c>
      <c r="Y29">
        <f t="shared" si="9"/>
        <v>62</v>
      </c>
      <c r="Z29">
        <f t="shared" si="10"/>
        <v>15.569999999999995</v>
      </c>
      <c r="AA29" s="7">
        <f t="shared" si="11"/>
        <v>0.25112903225806443</v>
      </c>
      <c r="AC29" s="8">
        <f t="shared" si="12"/>
        <v>1</v>
      </c>
      <c r="AD29" s="8">
        <f t="shared" si="13"/>
        <v>2.9399999999999977</v>
      </c>
    </row>
    <row r="30" spans="1:30" x14ac:dyDescent="0.35">
      <c r="A30" s="2">
        <v>30</v>
      </c>
      <c r="B30" s="2" t="s">
        <v>357</v>
      </c>
      <c r="C30" s="2" t="s">
        <v>375</v>
      </c>
      <c r="D30" s="3">
        <v>3.22</v>
      </c>
      <c r="E30" s="3">
        <v>0.34</v>
      </c>
      <c r="F30" s="3">
        <v>0</v>
      </c>
      <c r="G30" s="3">
        <v>1.29</v>
      </c>
      <c r="H30" s="15">
        <v>4.84</v>
      </c>
      <c r="I30" s="3">
        <v>53</v>
      </c>
      <c r="K30">
        <f t="shared" si="0"/>
        <v>10.909999999999998</v>
      </c>
      <c r="L30" s="7">
        <f t="shared" si="1"/>
        <v>0.20584905660377356</v>
      </c>
      <c r="N30">
        <f t="shared" si="2"/>
        <v>64</v>
      </c>
      <c r="P30" s="8">
        <f t="shared" si="3"/>
        <v>64</v>
      </c>
      <c r="R30">
        <f t="shared" si="4"/>
        <v>32</v>
      </c>
      <c r="S30">
        <f t="shared" si="5"/>
        <v>8.0399999999999991</v>
      </c>
      <c r="T30" s="7">
        <f t="shared" si="6"/>
        <v>0.25124999999999997</v>
      </c>
      <c r="V30" s="8">
        <f t="shared" si="7"/>
        <v>21</v>
      </c>
      <c r="W30" s="8">
        <f t="shared" si="8"/>
        <v>-2.8699999999999992</v>
      </c>
      <c r="Y30">
        <f t="shared" si="9"/>
        <v>45</v>
      </c>
      <c r="Z30">
        <f t="shared" si="10"/>
        <v>11.259999999999998</v>
      </c>
      <c r="AA30" s="7">
        <f t="shared" si="11"/>
        <v>0.25022222222222218</v>
      </c>
      <c r="AC30" s="8">
        <f t="shared" si="12"/>
        <v>8</v>
      </c>
      <c r="AD30" s="8">
        <f t="shared" si="13"/>
        <v>0.34999999999999964</v>
      </c>
    </row>
    <row r="31" spans="1:30" x14ac:dyDescent="0.35">
      <c r="A31" s="2">
        <v>31</v>
      </c>
      <c r="B31" s="2" t="s">
        <v>357</v>
      </c>
      <c r="C31" s="2" t="s">
        <v>376</v>
      </c>
      <c r="D31" s="3">
        <v>3.51</v>
      </c>
      <c r="E31" s="3">
        <v>0.34</v>
      </c>
      <c r="F31" s="3">
        <v>0</v>
      </c>
      <c r="G31" s="3">
        <v>1.29</v>
      </c>
      <c r="H31" s="15">
        <v>5.14</v>
      </c>
      <c r="I31" s="3">
        <v>54</v>
      </c>
      <c r="K31">
        <f t="shared" si="0"/>
        <v>10.959999999999997</v>
      </c>
      <c r="L31" s="7">
        <f t="shared" si="1"/>
        <v>0.2029629629629629</v>
      </c>
      <c r="N31">
        <f t="shared" si="2"/>
        <v>64</v>
      </c>
      <c r="P31" s="8">
        <f t="shared" si="3"/>
        <v>64</v>
      </c>
      <c r="R31">
        <f t="shared" si="4"/>
        <v>33</v>
      </c>
      <c r="S31">
        <f t="shared" si="5"/>
        <v>8.2299999999999969</v>
      </c>
      <c r="T31" s="7">
        <f t="shared" si="6"/>
        <v>0.24939393939393931</v>
      </c>
      <c r="V31" s="8">
        <f t="shared" si="7"/>
        <v>21</v>
      </c>
      <c r="W31" s="8">
        <f t="shared" si="8"/>
        <v>-2.7300000000000004</v>
      </c>
      <c r="Y31">
        <f t="shared" si="9"/>
        <v>47</v>
      </c>
      <c r="Z31">
        <f t="shared" si="10"/>
        <v>11.799999999999997</v>
      </c>
      <c r="AA31" s="7">
        <f t="shared" si="11"/>
        <v>0.25106382978723396</v>
      </c>
      <c r="AC31" s="8">
        <f t="shared" si="12"/>
        <v>7</v>
      </c>
      <c r="AD31" s="8">
        <f t="shared" si="13"/>
        <v>0.83999999999999986</v>
      </c>
    </row>
    <row r="32" spans="1:30" x14ac:dyDescent="0.35">
      <c r="A32" s="2">
        <v>32</v>
      </c>
      <c r="B32" s="2" t="s">
        <v>357</v>
      </c>
      <c r="C32" s="2" t="s">
        <v>377</v>
      </c>
      <c r="D32" s="3">
        <v>3.23</v>
      </c>
      <c r="E32" s="3">
        <v>0.34</v>
      </c>
      <c r="F32" s="3">
        <v>0</v>
      </c>
      <c r="G32" s="3">
        <v>1.29</v>
      </c>
      <c r="H32" s="15">
        <v>4.8600000000000003</v>
      </c>
      <c r="I32" s="3">
        <v>52</v>
      </c>
      <c r="K32">
        <f t="shared" si="0"/>
        <v>10.54</v>
      </c>
      <c r="L32" s="7">
        <f t="shared" si="1"/>
        <v>0.20269230769230767</v>
      </c>
      <c r="N32">
        <f t="shared" si="2"/>
        <v>64</v>
      </c>
      <c r="P32" s="8">
        <f t="shared" si="3"/>
        <v>64</v>
      </c>
      <c r="R32">
        <f t="shared" si="4"/>
        <v>32</v>
      </c>
      <c r="S32">
        <f t="shared" si="5"/>
        <v>8.02</v>
      </c>
      <c r="T32" s="7">
        <f t="shared" si="6"/>
        <v>0.25062499999999999</v>
      </c>
      <c r="V32" s="8">
        <f t="shared" si="7"/>
        <v>20</v>
      </c>
      <c r="W32" s="8">
        <f t="shared" si="8"/>
        <v>-2.5199999999999996</v>
      </c>
      <c r="Y32">
        <f t="shared" si="9"/>
        <v>45</v>
      </c>
      <c r="Z32">
        <f t="shared" si="10"/>
        <v>11.239999999999998</v>
      </c>
      <c r="AA32" s="7">
        <f t="shared" si="11"/>
        <v>0.24977777777777774</v>
      </c>
      <c r="AC32" s="8">
        <f t="shared" si="12"/>
        <v>7</v>
      </c>
      <c r="AD32" s="8">
        <f t="shared" si="13"/>
        <v>0.69999999999999929</v>
      </c>
    </row>
    <row r="33" spans="1:30" x14ac:dyDescent="0.35">
      <c r="A33" s="2">
        <v>33</v>
      </c>
      <c r="B33" s="2" t="s">
        <v>378</v>
      </c>
      <c r="C33" s="2" t="s">
        <v>379</v>
      </c>
      <c r="D33" s="3">
        <v>1.77</v>
      </c>
      <c r="E33" s="3">
        <v>0</v>
      </c>
      <c r="F33" s="3">
        <v>0</v>
      </c>
      <c r="G33" s="3">
        <v>1.2</v>
      </c>
      <c r="H33" s="15">
        <v>2.97</v>
      </c>
      <c r="I33" s="3">
        <v>32</v>
      </c>
      <c r="K33">
        <f t="shared" si="0"/>
        <v>5.4299999999999979</v>
      </c>
      <c r="L33" s="7">
        <f t="shared" si="1"/>
        <v>0.16968749999999994</v>
      </c>
      <c r="N33">
        <f t="shared" si="2"/>
        <v>58</v>
      </c>
      <c r="P33" s="8">
        <f t="shared" si="3"/>
        <v>58</v>
      </c>
      <c r="R33">
        <f t="shared" si="4"/>
        <v>24</v>
      </c>
      <c r="S33">
        <f t="shared" si="5"/>
        <v>5.9899999999999967</v>
      </c>
      <c r="T33" s="7">
        <f t="shared" si="6"/>
        <v>0.24958333333333318</v>
      </c>
      <c r="V33" s="8">
        <f t="shared" si="7"/>
        <v>8</v>
      </c>
      <c r="W33" s="8">
        <f t="shared" si="8"/>
        <v>0.55999999999999872</v>
      </c>
      <c r="Y33">
        <f t="shared" si="9"/>
        <v>34</v>
      </c>
      <c r="Z33">
        <f t="shared" si="10"/>
        <v>8.509999999999998</v>
      </c>
      <c r="AA33" s="7">
        <f t="shared" si="11"/>
        <v>0.25029411764705878</v>
      </c>
      <c r="AC33" s="8">
        <f t="shared" si="12"/>
        <v>-2</v>
      </c>
      <c r="AD33" s="8">
        <f t="shared" si="13"/>
        <v>3.08</v>
      </c>
    </row>
    <row r="34" spans="1:30" x14ac:dyDescent="0.35">
      <c r="A34" s="2">
        <v>34</v>
      </c>
      <c r="B34" s="2" t="s">
        <v>378</v>
      </c>
      <c r="C34" s="2" t="s">
        <v>380</v>
      </c>
      <c r="D34" s="3">
        <v>4.6500000000000004</v>
      </c>
      <c r="E34" s="3">
        <v>0</v>
      </c>
      <c r="F34" s="3">
        <v>0</v>
      </c>
      <c r="G34" s="3">
        <v>1.2</v>
      </c>
      <c r="H34" s="15">
        <v>5.85</v>
      </c>
      <c r="I34" s="3">
        <v>47</v>
      </c>
      <c r="K34">
        <f t="shared" ref="K34:K65" si="14">IFERROR(((I34-MIN(I34/2,30)-4)*0.7)-$H34,0)</f>
        <v>7.7999999999999989</v>
      </c>
      <c r="L34" s="7">
        <f t="shared" ref="L34:L65" si="15">K34/I34</f>
        <v>0.16595744680851063</v>
      </c>
      <c r="N34">
        <f t="shared" ref="N34:N65" si="16">ROUND(IF(H34&lt;=3.2,28+10*(H34),(23.8+H34)/0.45),0)</f>
        <v>66</v>
      </c>
      <c r="P34" s="8">
        <f t="shared" ref="P34:P65" si="17">MAX(N34,I34)</f>
        <v>66</v>
      </c>
      <c r="R34">
        <f t="shared" ref="R34:R65" si="18">ROUND((4.17*H34)+11.67,0)</f>
        <v>36</v>
      </c>
      <c r="S34">
        <f t="shared" ref="S34:S65" si="19">(((R34*0.7)-4)*0.7)-H34</f>
        <v>8.9899999999999984</v>
      </c>
      <c r="T34" s="7">
        <f t="shared" ref="T34:T65" si="20">S34/R34</f>
        <v>0.24972222222222218</v>
      </c>
      <c r="V34" s="8">
        <f t="shared" ref="V34:V65" si="21">I34-R34</f>
        <v>11</v>
      </c>
      <c r="W34" s="8">
        <f t="shared" ref="W34:W65" si="22">S34-K34</f>
        <v>1.1899999999999995</v>
      </c>
      <c r="Y34">
        <f t="shared" ref="Y34:Y65" si="23">ROUND((5.88*H34)+16.47,0)</f>
        <v>51</v>
      </c>
      <c r="Z34">
        <f t="shared" ref="Z34:Z65" si="24">(((Y34*0.6)-4)*0.7)-H34</f>
        <v>12.769999999999998</v>
      </c>
      <c r="AA34" s="7">
        <f t="shared" ref="AA34:AA65" si="25">Z34/Y34</f>
        <v>0.25039215686274507</v>
      </c>
      <c r="AC34" s="8">
        <f t="shared" ref="AC34:AC65" si="26">I34-Y34</f>
        <v>-4</v>
      </c>
      <c r="AD34" s="8">
        <f t="shared" ref="AD34:AD65" si="27">Z34-K34</f>
        <v>4.9699999999999989</v>
      </c>
    </row>
    <row r="35" spans="1:30" x14ac:dyDescent="0.35">
      <c r="A35" s="2">
        <v>35</v>
      </c>
      <c r="B35" s="2" t="s">
        <v>378</v>
      </c>
      <c r="C35" s="2" t="s">
        <v>381</v>
      </c>
      <c r="D35" s="3">
        <v>1.26</v>
      </c>
      <c r="E35" s="3">
        <v>0</v>
      </c>
      <c r="F35" s="3">
        <v>0</v>
      </c>
      <c r="G35" s="3">
        <v>1.2</v>
      </c>
      <c r="H35" s="15">
        <v>2.46</v>
      </c>
      <c r="I35" s="2">
        <v>40</v>
      </c>
      <c r="K35">
        <f t="shared" si="14"/>
        <v>8.7399999999999984</v>
      </c>
      <c r="L35" s="7">
        <f t="shared" si="15"/>
        <v>0.21849999999999997</v>
      </c>
      <c r="N35">
        <f t="shared" si="16"/>
        <v>53</v>
      </c>
      <c r="P35" s="8">
        <f t="shared" si="17"/>
        <v>53</v>
      </c>
      <c r="R35">
        <f t="shared" si="18"/>
        <v>22</v>
      </c>
      <c r="S35">
        <f t="shared" si="19"/>
        <v>5.5199999999999987</v>
      </c>
      <c r="T35" s="7">
        <f t="shared" si="20"/>
        <v>0.25090909090909086</v>
      </c>
      <c r="V35" s="8">
        <f t="shared" si="21"/>
        <v>18</v>
      </c>
      <c r="W35" s="8">
        <f t="shared" si="22"/>
        <v>-3.2199999999999998</v>
      </c>
      <c r="Y35">
        <f t="shared" si="23"/>
        <v>31</v>
      </c>
      <c r="Z35">
        <f t="shared" si="24"/>
        <v>7.7599999999999971</v>
      </c>
      <c r="AA35" s="7">
        <f t="shared" si="25"/>
        <v>0.25032258064516122</v>
      </c>
      <c r="AC35" s="8">
        <f t="shared" si="26"/>
        <v>9</v>
      </c>
      <c r="AD35" s="8">
        <f t="shared" si="27"/>
        <v>-0.98000000000000131</v>
      </c>
    </row>
    <row r="36" spans="1:30" x14ac:dyDescent="0.35">
      <c r="A36" s="2">
        <v>36</v>
      </c>
      <c r="B36" s="2" t="s">
        <v>378</v>
      </c>
      <c r="C36" s="2" t="s">
        <v>382</v>
      </c>
      <c r="D36" s="3">
        <v>3.12</v>
      </c>
      <c r="E36" s="3">
        <v>0</v>
      </c>
      <c r="F36" s="3">
        <v>0</v>
      </c>
      <c r="G36" s="3">
        <v>1.2</v>
      </c>
      <c r="H36" s="15">
        <v>4.32</v>
      </c>
      <c r="I36" s="2">
        <v>43</v>
      </c>
      <c r="K36">
        <f t="shared" si="14"/>
        <v>7.93</v>
      </c>
      <c r="L36" s="7">
        <f t="shared" si="15"/>
        <v>0.18441860465116278</v>
      </c>
      <c r="N36">
        <f t="shared" si="16"/>
        <v>62</v>
      </c>
      <c r="P36" s="8">
        <f t="shared" si="17"/>
        <v>62</v>
      </c>
      <c r="R36">
        <f t="shared" si="18"/>
        <v>30</v>
      </c>
      <c r="S36">
        <f t="shared" si="19"/>
        <v>7.5799999999999983</v>
      </c>
      <c r="T36" s="7">
        <f t="shared" si="20"/>
        <v>0.2526666666666666</v>
      </c>
      <c r="V36" s="8">
        <f t="shared" si="21"/>
        <v>13</v>
      </c>
      <c r="W36" s="8">
        <f t="shared" si="22"/>
        <v>-0.35000000000000142</v>
      </c>
      <c r="Y36">
        <f t="shared" si="23"/>
        <v>42</v>
      </c>
      <c r="Z36">
        <f t="shared" si="24"/>
        <v>10.519999999999998</v>
      </c>
      <c r="AA36" s="7">
        <f t="shared" si="25"/>
        <v>0.25047619047619041</v>
      </c>
      <c r="AC36" s="8">
        <f t="shared" si="26"/>
        <v>1</v>
      </c>
      <c r="AD36" s="8">
        <f t="shared" si="27"/>
        <v>2.5899999999999981</v>
      </c>
    </row>
    <row r="37" spans="1:30" x14ac:dyDescent="0.35">
      <c r="A37" s="2">
        <v>37</v>
      </c>
      <c r="B37" s="2" t="s">
        <v>378</v>
      </c>
      <c r="C37" s="2" t="s">
        <v>383</v>
      </c>
      <c r="D37" s="3">
        <v>8.0500000000000007</v>
      </c>
      <c r="E37" s="3">
        <v>0</v>
      </c>
      <c r="F37" s="3">
        <v>0</v>
      </c>
      <c r="G37" s="3">
        <v>1.2</v>
      </c>
      <c r="H37" s="15">
        <v>9.25</v>
      </c>
      <c r="I37" s="3">
        <v>56</v>
      </c>
      <c r="K37">
        <f t="shared" si="14"/>
        <v>7.5499999999999972</v>
      </c>
      <c r="L37" s="7">
        <f t="shared" si="15"/>
        <v>0.13482142857142851</v>
      </c>
      <c r="N37">
        <f t="shared" si="16"/>
        <v>73</v>
      </c>
      <c r="P37" s="8">
        <f t="shared" si="17"/>
        <v>73</v>
      </c>
      <c r="R37">
        <f t="shared" si="18"/>
        <v>50</v>
      </c>
      <c r="S37">
        <f t="shared" si="19"/>
        <v>12.45</v>
      </c>
      <c r="T37" s="7">
        <f t="shared" si="20"/>
        <v>0.249</v>
      </c>
      <c r="V37" s="8">
        <f t="shared" si="21"/>
        <v>6</v>
      </c>
      <c r="W37" s="8">
        <f t="shared" si="22"/>
        <v>4.9000000000000021</v>
      </c>
      <c r="Y37">
        <f t="shared" si="23"/>
        <v>71</v>
      </c>
      <c r="Z37">
        <f t="shared" si="24"/>
        <v>17.77</v>
      </c>
      <c r="AA37" s="7">
        <f t="shared" si="25"/>
        <v>0.25028169014084506</v>
      </c>
      <c r="AC37" s="8">
        <f t="shared" si="26"/>
        <v>-15</v>
      </c>
      <c r="AD37" s="8">
        <f t="shared" si="27"/>
        <v>10.220000000000002</v>
      </c>
    </row>
    <row r="38" spans="1:30" x14ac:dyDescent="0.35">
      <c r="A38" s="2">
        <v>38</v>
      </c>
      <c r="B38" s="2" t="s">
        <v>378</v>
      </c>
      <c r="C38" s="2" t="s">
        <v>384</v>
      </c>
      <c r="D38" s="3">
        <v>6.98</v>
      </c>
      <c r="E38" s="3">
        <v>0</v>
      </c>
      <c r="F38" s="3">
        <v>0</v>
      </c>
      <c r="G38" s="3">
        <v>1.2</v>
      </c>
      <c r="H38" s="15">
        <v>8.18</v>
      </c>
      <c r="I38" s="3">
        <v>54</v>
      </c>
      <c r="K38">
        <f t="shared" si="14"/>
        <v>7.9199999999999982</v>
      </c>
      <c r="L38" s="7">
        <f t="shared" si="15"/>
        <v>0.14666666666666664</v>
      </c>
      <c r="N38">
        <f t="shared" si="16"/>
        <v>71</v>
      </c>
      <c r="P38" s="8">
        <f t="shared" si="17"/>
        <v>71</v>
      </c>
      <c r="R38">
        <f t="shared" si="18"/>
        <v>46</v>
      </c>
      <c r="S38">
        <f t="shared" si="19"/>
        <v>11.559999999999995</v>
      </c>
      <c r="T38" s="7">
        <f t="shared" si="20"/>
        <v>0.25130434782608685</v>
      </c>
      <c r="V38" s="8">
        <f t="shared" si="21"/>
        <v>8</v>
      </c>
      <c r="W38" s="8">
        <f t="shared" si="22"/>
        <v>3.639999999999997</v>
      </c>
      <c r="Y38">
        <f t="shared" si="23"/>
        <v>65</v>
      </c>
      <c r="Z38">
        <f t="shared" si="24"/>
        <v>16.32</v>
      </c>
      <c r="AA38" s="7">
        <f t="shared" si="25"/>
        <v>0.25107692307692309</v>
      </c>
      <c r="AC38" s="8">
        <f t="shared" si="26"/>
        <v>-11</v>
      </c>
      <c r="AD38" s="8">
        <f t="shared" si="27"/>
        <v>8.4000000000000021</v>
      </c>
    </row>
    <row r="39" spans="1:30" x14ac:dyDescent="0.35">
      <c r="A39" s="2">
        <v>39</v>
      </c>
      <c r="B39" s="2" t="s">
        <v>378</v>
      </c>
      <c r="C39" s="2" t="s">
        <v>385</v>
      </c>
      <c r="D39" s="3">
        <v>7.73</v>
      </c>
      <c r="E39" s="3">
        <v>0</v>
      </c>
      <c r="F39" s="3">
        <v>0</v>
      </c>
      <c r="G39" s="3">
        <v>1.2</v>
      </c>
      <c r="H39" s="15">
        <v>8.93</v>
      </c>
      <c r="I39" s="3">
        <v>56</v>
      </c>
      <c r="K39">
        <f t="shared" si="14"/>
        <v>7.8699999999999974</v>
      </c>
      <c r="L39" s="7">
        <f t="shared" si="15"/>
        <v>0.14053571428571424</v>
      </c>
      <c r="N39">
        <f t="shared" si="16"/>
        <v>73</v>
      </c>
      <c r="P39" s="8">
        <f t="shared" si="17"/>
        <v>73</v>
      </c>
      <c r="R39">
        <f t="shared" si="18"/>
        <v>49</v>
      </c>
      <c r="S39">
        <f t="shared" si="19"/>
        <v>12.279999999999998</v>
      </c>
      <c r="T39" s="7">
        <f t="shared" si="20"/>
        <v>0.25061224489795914</v>
      </c>
      <c r="V39" s="8">
        <f t="shared" si="21"/>
        <v>7</v>
      </c>
      <c r="W39" s="8">
        <f t="shared" si="22"/>
        <v>4.41</v>
      </c>
      <c r="Y39">
        <f t="shared" si="23"/>
        <v>69</v>
      </c>
      <c r="Z39">
        <f t="shared" si="24"/>
        <v>17.249999999999996</v>
      </c>
      <c r="AA39" s="7">
        <f t="shared" si="25"/>
        <v>0.24999999999999994</v>
      </c>
      <c r="AC39" s="8">
        <f t="shared" si="26"/>
        <v>-13</v>
      </c>
      <c r="AD39" s="8">
        <f t="shared" si="27"/>
        <v>9.379999999999999</v>
      </c>
    </row>
    <row r="40" spans="1:30" x14ac:dyDescent="0.35">
      <c r="A40" s="2">
        <v>40</v>
      </c>
      <c r="B40" s="2" t="s">
        <v>378</v>
      </c>
      <c r="C40" s="2" t="s">
        <v>386</v>
      </c>
      <c r="D40" s="3">
        <v>4.07</v>
      </c>
      <c r="E40" s="3">
        <v>0</v>
      </c>
      <c r="F40" s="3">
        <v>0</v>
      </c>
      <c r="G40" s="3">
        <v>1.2</v>
      </c>
      <c r="H40" s="15">
        <v>5.27</v>
      </c>
      <c r="I40" s="3">
        <v>48</v>
      </c>
      <c r="K40">
        <f t="shared" si="14"/>
        <v>8.73</v>
      </c>
      <c r="L40" s="7">
        <f t="shared" si="15"/>
        <v>0.18187500000000001</v>
      </c>
      <c r="N40">
        <f t="shared" si="16"/>
        <v>65</v>
      </c>
      <c r="P40" s="8">
        <f t="shared" si="17"/>
        <v>65</v>
      </c>
      <c r="R40">
        <f t="shared" si="18"/>
        <v>34</v>
      </c>
      <c r="S40">
        <f t="shared" si="19"/>
        <v>8.5899999999999981</v>
      </c>
      <c r="T40" s="7">
        <f t="shared" si="20"/>
        <v>0.25264705882352934</v>
      </c>
      <c r="V40" s="8">
        <f t="shared" si="21"/>
        <v>14</v>
      </c>
      <c r="W40" s="8">
        <f t="shared" si="22"/>
        <v>-0.14000000000000234</v>
      </c>
      <c r="Y40">
        <f t="shared" si="23"/>
        <v>47</v>
      </c>
      <c r="Z40">
        <f t="shared" si="24"/>
        <v>11.669999999999998</v>
      </c>
      <c r="AA40" s="7">
        <f t="shared" si="25"/>
        <v>0.2482978723404255</v>
      </c>
      <c r="AC40" s="8">
        <f t="shared" si="26"/>
        <v>1</v>
      </c>
      <c r="AD40" s="8">
        <f t="shared" si="27"/>
        <v>2.9399999999999977</v>
      </c>
    </row>
    <row r="41" spans="1:30" x14ac:dyDescent="0.35">
      <c r="A41" s="2">
        <v>41</v>
      </c>
      <c r="B41" s="2" t="s">
        <v>378</v>
      </c>
      <c r="C41" s="2" t="s">
        <v>387</v>
      </c>
      <c r="D41" s="3">
        <v>2.79</v>
      </c>
      <c r="E41" s="3">
        <v>0</v>
      </c>
      <c r="F41" s="3">
        <v>0</v>
      </c>
      <c r="G41" s="3">
        <v>1.2</v>
      </c>
      <c r="H41" s="15">
        <v>3.99</v>
      </c>
      <c r="I41" s="3">
        <v>40</v>
      </c>
      <c r="K41">
        <f t="shared" si="14"/>
        <v>7.2099999999999991</v>
      </c>
      <c r="L41" s="7">
        <f t="shared" si="15"/>
        <v>0.18024999999999997</v>
      </c>
      <c r="N41">
        <f t="shared" si="16"/>
        <v>62</v>
      </c>
      <c r="P41" s="8">
        <f t="shared" si="17"/>
        <v>62</v>
      </c>
      <c r="R41">
        <f t="shared" si="18"/>
        <v>28</v>
      </c>
      <c r="S41">
        <f t="shared" si="19"/>
        <v>6.9299999999999979</v>
      </c>
      <c r="T41" s="7">
        <f t="shared" si="20"/>
        <v>0.24749999999999991</v>
      </c>
      <c r="V41" s="8">
        <f t="shared" si="21"/>
        <v>12</v>
      </c>
      <c r="W41" s="8">
        <f t="shared" si="22"/>
        <v>-0.28000000000000114</v>
      </c>
      <c r="Y41">
        <f t="shared" si="23"/>
        <v>40</v>
      </c>
      <c r="Z41">
        <f t="shared" si="24"/>
        <v>10.01</v>
      </c>
      <c r="AA41" s="7">
        <f t="shared" si="25"/>
        <v>0.25024999999999997</v>
      </c>
      <c r="AC41" s="8">
        <f t="shared" si="26"/>
        <v>0</v>
      </c>
      <c r="AD41" s="8">
        <f t="shared" si="27"/>
        <v>2.8000000000000007</v>
      </c>
    </row>
    <row r="42" spans="1:30" x14ac:dyDescent="0.35">
      <c r="A42" s="2">
        <v>42</v>
      </c>
      <c r="B42" s="2" t="s">
        <v>378</v>
      </c>
      <c r="C42" s="2" t="s">
        <v>388</v>
      </c>
      <c r="D42" s="3">
        <v>3.82</v>
      </c>
      <c r="E42" s="3">
        <v>0</v>
      </c>
      <c r="F42" s="3">
        <v>0</v>
      </c>
      <c r="G42" s="3">
        <v>1.2</v>
      </c>
      <c r="H42" s="15">
        <v>5.0199999999999996</v>
      </c>
      <c r="I42" s="3">
        <v>45</v>
      </c>
      <c r="K42">
        <f t="shared" si="14"/>
        <v>7.93</v>
      </c>
      <c r="L42" s="7">
        <f t="shared" si="15"/>
        <v>0.17622222222222222</v>
      </c>
      <c r="N42">
        <f t="shared" si="16"/>
        <v>64</v>
      </c>
      <c r="P42" s="8">
        <f t="shared" si="17"/>
        <v>64</v>
      </c>
      <c r="R42">
        <f t="shared" si="18"/>
        <v>33</v>
      </c>
      <c r="S42">
        <f t="shared" si="19"/>
        <v>8.3499999999999979</v>
      </c>
      <c r="T42" s="7">
        <f t="shared" si="20"/>
        <v>0.25303030303030294</v>
      </c>
      <c r="V42" s="8">
        <f t="shared" si="21"/>
        <v>12</v>
      </c>
      <c r="W42" s="8">
        <f t="shared" si="22"/>
        <v>0.41999999999999815</v>
      </c>
      <c r="Y42">
        <f t="shared" si="23"/>
        <v>46</v>
      </c>
      <c r="Z42">
        <f t="shared" si="24"/>
        <v>11.499999999999996</v>
      </c>
      <c r="AA42" s="7">
        <f t="shared" si="25"/>
        <v>0.24999999999999992</v>
      </c>
      <c r="AC42" s="8">
        <f t="shared" si="26"/>
        <v>-1</v>
      </c>
      <c r="AD42" s="8">
        <f t="shared" si="27"/>
        <v>3.5699999999999967</v>
      </c>
    </row>
    <row r="43" spans="1:30" x14ac:dyDescent="0.35">
      <c r="A43" s="2">
        <v>43</v>
      </c>
      <c r="B43" s="2" t="s">
        <v>378</v>
      </c>
      <c r="C43" s="2" t="s">
        <v>389</v>
      </c>
      <c r="D43" s="3">
        <v>7.64</v>
      </c>
      <c r="E43" s="3">
        <v>0</v>
      </c>
      <c r="F43" s="3">
        <v>0</v>
      </c>
      <c r="G43" s="3">
        <v>1.2</v>
      </c>
      <c r="H43" s="15">
        <v>8.84</v>
      </c>
      <c r="I43" s="3">
        <v>52</v>
      </c>
      <c r="K43">
        <f t="shared" si="14"/>
        <v>6.5599999999999987</v>
      </c>
      <c r="L43" s="7">
        <f t="shared" si="15"/>
        <v>0.12615384615384612</v>
      </c>
      <c r="N43">
        <f t="shared" si="16"/>
        <v>73</v>
      </c>
      <c r="P43" s="8">
        <f t="shared" si="17"/>
        <v>73</v>
      </c>
      <c r="R43">
        <f t="shared" si="18"/>
        <v>49</v>
      </c>
      <c r="S43">
        <f t="shared" si="19"/>
        <v>12.369999999999997</v>
      </c>
      <c r="T43" s="7">
        <f t="shared" si="20"/>
        <v>0.25244897959183671</v>
      </c>
      <c r="V43" s="8">
        <f t="shared" si="21"/>
        <v>3</v>
      </c>
      <c r="W43" s="8">
        <f t="shared" si="22"/>
        <v>5.8099999999999987</v>
      </c>
      <c r="Y43">
        <f t="shared" si="23"/>
        <v>68</v>
      </c>
      <c r="Z43">
        <f t="shared" si="24"/>
        <v>16.919999999999998</v>
      </c>
      <c r="AA43" s="7">
        <f t="shared" si="25"/>
        <v>0.24882352941176467</v>
      </c>
      <c r="AC43" s="8">
        <f t="shared" si="26"/>
        <v>-16</v>
      </c>
      <c r="AD43" s="8">
        <f t="shared" si="27"/>
        <v>10.36</v>
      </c>
    </row>
    <row r="44" spans="1:30" x14ac:dyDescent="0.35">
      <c r="A44" s="2">
        <v>44</v>
      </c>
      <c r="B44" s="2" t="s">
        <v>378</v>
      </c>
      <c r="C44" s="2" t="s">
        <v>390</v>
      </c>
      <c r="D44" s="3">
        <v>4.0999999999999996</v>
      </c>
      <c r="E44" s="3">
        <v>0</v>
      </c>
      <c r="F44" s="3">
        <v>0</v>
      </c>
      <c r="G44" s="3">
        <v>1.2</v>
      </c>
      <c r="H44" s="15">
        <v>5.3</v>
      </c>
      <c r="I44" s="3">
        <v>49</v>
      </c>
      <c r="K44">
        <f t="shared" si="14"/>
        <v>9.0500000000000007</v>
      </c>
      <c r="L44" s="7">
        <f t="shared" si="15"/>
        <v>0.18469387755102043</v>
      </c>
      <c r="N44">
        <f t="shared" si="16"/>
        <v>65</v>
      </c>
      <c r="P44" s="8">
        <f t="shared" si="17"/>
        <v>65</v>
      </c>
      <c r="R44">
        <f t="shared" si="18"/>
        <v>34</v>
      </c>
      <c r="S44">
        <f t="shared" si="19"/>
        <v>8.5599999999999987</v>
      </c>
      <c r="T44" s="7">
        <f t="shared" si="20"/>
        <v>0.25176470588235289</v>
      </c>
      <c r="V44" s="8">
        <f t="shared" si="21"/>
        <v>15</v>
      </c>
      <c r="W44" s="8">
        <f t="shared" si="22"/>
        <v>-0.49000000000000199</v>
      </c>
      <c r="Y44">
        <f t="shared" si="23"/>
        <v>48</v>
      </c>
      <c r="Z44">
        <f t="shared" si="24"/>
        <v>12.059999999999995</v>
      </c>
      <c r="AA44" s="7">
        <f t="shared" si="25"/>
        <v>0.25124999999999992</v>
      </c>
      <c r="AC44" s="8">
        <f t="shared" si="26"/>
        <v>1</v>
      </c>
      <c r="AD44" s="8">
        <f t="shared" si="27"/>
        <v>3.0099999999999945</v>
      </c>
    </row>
    <row r="45" spans="1:30" x14ac:dyDescent="0.35">
      <c r="A45" s="2">
        <v>45</v>
      </c>
      <c r="B45" s="2" t="s">
        <v>378</v>
      </c>
      <c r="C45" s="2" t="s">
        <v>391</v>
      </c>
      <c r="D45" s="3">
        <v>4.68</v>
      </c>
      <c r="E45" s="3">
        <v>0</v>
      </c>
      <c r="F45" s="3">
        <v>0</v>
      </c>
      <c r="G45" s="3">
        <v>1.2</v>
      </c>
      <c r="H45" s="15">
        <v>5.88</v>
      </c>
      <c r="I45" s="2">
        <v>49</v>
      </c>
      <c r="K45">
        <f t="shared" si="14"/>
        <v>8.4699999999999989</v>
      </c>
      <c r="L45" s="7">
        <f t="shared" si="15"/>
        <v>0.17285714285714282</v>
      </c>
      <c r="N45">
        <f t="shared" si="16"/>
        <v>66</v>
      </c>
      <c r="P45" s="8">
        <f t="shared" si="17"/>
        <v>66</v>
      </c>
      <c r="R45">
        <f t="shared" si="18"/>
        <v>36</v>
      </c>
      <c r="S45">
        <f t="shared" si="19"/>
        <v>8.9599999999999973</v>
      </c>
      <c r="T45" s="7">
        <f t="shared" si="20"/>
        <v>0.24888888888888883</v>
      </c>
      <c r="V45" s="8">
        <f t="shared" si="21"/>
        <v>13</v>
      </c>
      <c r="W45" s="8">
        <f t="shared" si="22"/>
        <v>0.48999999999999844</v>
      </c>
      <c r="Y45">
        <f t="shared" si="23"/>
        <v>51</v>
      </c>
      <c r="Z45">
        <f t="shared" si="24"/>
        <v>12.739999999999998</v>
      </c>
      <c r="AA45" s="7">
        <f t="shared" si="25"/>
        <v>0.24980392156862741</v>
      </c>
      <c r="AC45" s="8">
        <f t="shared" si="26"/>
        <v>-2</v>
      </c>
      <c r="AD45" s="8">
        <f t="shared" si="27"/>
        <v>4.2699999999999996</v>
      </c>
    </row>
    <row r="46" spans="1:30" x14ac:dyDescent="0.35">
      <c r="A46" s="2">
        <v>46</v>
      </c>
      <c r="B46" s="2" t="s">
        <v>378</v>
      </c>
      <c r="C46" s="2" t="s">
        <v>392</v>
      </c>
      <c r="D46" s="3">
        <v>5.86</v>
      </c>
      <c r="E46" s="3">
        <v>0</v>
      </c>
      <c r="F46" s="3">
        <v>0</v>
      </c>
      <c r="G46" s="3">
        <v>1.2</v>
      </c>
      <c r="H46" s="15">
        <v>7.06</v>
      </c>
      <c r="I46" s="3">
        <v>54</v>
      </c>
      <c r="K46">
        <f t="shared" si="14"/>
        <v>9.0399999999999991</v>
      </c>
      <c r="L46" s="7">
        <f t="shared" si="15"/>
        <v>0.16740740740740739</v>
      </c>
      <c r="N46">
        <f t="shared" si="16"/>
        <v>69</v>
      </c>
      <c r="P46" s="8">
        <f t="shared" si="17"/>
        <v>69</v>
      </c>
      <c r="R46">
        <f t="shared" si="18"/>
        <v>41</v>
      </c>
      <c r="S46">
        <f t="shared" si="19"/>
        <v>10.23</v>
      </c>
      <c r="T46" s="7">
        <f t="shared" si="20"/>
        <v>0.24951219512195122</v>
      </c>
      <c r="V46" s="8">
        <f t="shared" si="21"/>
        <v>13</v>
      </c>
      <c r="W46" s="8">
        <f t="shared" si="22"/>
        <v>1.1900000000000013</v>
      </c>
      <c r="Y46">
        <f t="shared" si="23"/>
        <v>58</v>
      </c>
      <c r="Z46">
        <f t="shared" si="24"/>
        <v>14.499999999999996</v>
      </c>
      <c r="AA46" s="7">
        <f t="shared" si="25"/>
        <v>0.24999999999999994</v>
      </c>
      <c r="AC46" s="8">
        <f t="shared" si="26"/>
        <v>-4</v>
      </c>
      <c r="AD46" s="8">
        <f t="shared" si="27"/>
        <v>5.4599999999999973</v>
      </c>
    </row>
    <row r="47" spans="1:30" x14ac:dyDescent="0.35">
      <c r="A47" s="2">
        <v>47</v>
      </c>
      <c r="B47" s="2" t="s">
        <v>378</v>
      </c>
      <c r="C47" s="2" t="s">
        <v>393</v>
      </c>
      <c r="D47" s="3">
        <v>4.43</v>
      </c>
      <c r="E47" s="3">
        <v>0</v>
      </c>
      <c r="F47" s="3">
        <v>0</v>
      </c>
      <c r="G47" s="3">
        <v>1.2</v>
      </c>
      <c r="H47" s="15">
        <v>5.63</v>
      </c>
      <c r="I47" s="3">
        <v>53</v>
      </c>
      <c r="K47">
        <f t="shared" si="14"/>
        <v>10.119999999999997</v>
      </c>
      <c r="L47" s="7">
        <f t="shared" si="15"/>
        <v>0.19094339622641504</v>
      </c>
      <c r="N47">
        <f t="shared" si="16"/>
        <v>65</v>
      </c>
      <c r="P47" s="8">
        <f t="shared" si="17"/>
        <v>65</v>
      </c>
      <c r="R47">
        <f t="shared" si="18"/>
        <v>35</v>
      </c>
      <c r="S47">
        <f t="shared" si="19"/>
        <v>8.7199999999999989</v>
      </c>
      <c r="T47" s="7">
        <f t="shared" si="20"/>
        <v>0.24914285714285711</v>
      </c>
      <c r="V47" s="8">
        <f t="shared" si="21"/>
        <v>18</v>
      </c>
      <c r="W47" s="8">
        <f t="shared" si="22"/>
        <v>-1.3999999999999986</v>
      </c>
      <c r="Y47">
        <f t="shared" si="23"/>
        <v>50</v>
      </c>
      <c r="Z47">
        <f t="shared" si="24"/>
        <v>12.57</v>
      </c>
      <c r="AA47" s="7">
        <f t="shared" si="25"/>
        <v>0.25140000000000001</v>
      </c>
      <c r="AC47" s="8">
        <f t="shared" si="26"/>
        <v>3</v>
      </c>
      <c r="AD47" s="8">
        <f t="shared" si="27"/>
        <v>2.4500000000000028</v>
      </c>
    </row>
    <row r="48" spans="1:30" x14ac:dyDescent="0.35">
      <c r="A48" s="2">
        <v>48</v>
      </c>
      <c r="B48" s="2" t="s">
        <v>378</v>
      </c>
      <c r="C48" s="2" t="s">
        <v>394</v>
      </c>
      <c r="D48" s="3">
        <v>6.64</v>
      </c>
      <c r="E48" s="3">
        <v>0</v>
      </c>
      <c r="F48" s="3">
        <v>0</v>
      </c>
      <c r="G48" s="3">
        <v>1.2</v>
      </c>
      <c r="H48" s="15">
        <v>7.84</v>
      </c>
      <c r="I48" s="3">
        <v>55</v>
      </c>
      <c r="K48">
        <f t="shared" si="14"/>
        <v>8.61</v>
      </c>
      <c r="L48" s="7">
        <f t="shared" si="15"/>
        <v>0.15654545454545454</v>
      </c>
      <c r="N48">
        <f t="shared" si="16"/>
        <v>70</v>
      </c>
      <c r="P48" s="8">
        <f t="shared" si="17"/>
        <v>70</v>
      </c>
      <c r="R48">
        <f t="shared" si="18"/>
        <v>44</v>
      </c>
      <c r="S48">
        <f t="shared" si="19"/>
        <v>10.919999999999998</v>
      </c>
      <c r="T48" s="7">
        <f t="shared" si="20"/>
        <v>0.24818181818181814</v>
      </c>
      <c r="V48" s="8">
        <f t="shared" si="21"/>
        <v>11</v>
      </c>
      <c r="W48" s="8">
        <f t="shared" si="22"/>
        <v>2.3099999999999987</v>
      </c>
      <c r="Y48">
        <f t="shared" si="23"/>
        <v>63</v>
      </c>
      <c r="Z48">
        <f t="shared" si="24"/>
        <v>15.819999999999997</v>
      </c>
      <c r="AA48" s="7">
        <f t="shared" si="25"/>
        <v>0.25111111111111106</v>
      </c>
      <c r="AC48" s="8">
        <f t="shared" si="26"/>
        <v>-8</v>
      </c>
      <c r="AD48" s="8">
        <f t="shared" si="27"/>
        <v>7.2099999999999973</v>
      </c>
    </row>
    <row r="49" spans="1:30" x14ac:dyDescent="0.35">
      <c r="A49" s="2">
        <v>49</v>
      </c>
      <c r="B49" s="2" t="s">
        <v>378</v>
      </c>
      <c r="C49" s="2" t="s">
        <v>395</v>
      </c>
      <c r="D49" s="3">
        <v>6.68</v>
      </c>
      <c r="E49" s="3">
        <v>0</v>
      </c>
      <c r="F49" s="3">
        <v>0</v>
      </c>
      <c r="G49" s="3">
        <v>1.2</v>
      </c>
      <c r="H49" s="15">
        <v>7.88</v>
      </c>
      <c r="I49" s="3">
        <v>55</v>
      </c>
      <c r="K49">
        <f t="shared" si="14"/>
        <v>8.57</v>
      </c>
      <c r="L49" s="7">
        <f t="shared" si="15"/>
        <v>0.15581818181818183</v>
      </c>
      <c r="N49">
        <f t="shared" si="16"/>
        <v>70</v>
      </c>
      <c r="P49" s="8">
        <f t="shared" si="17"/>
        <v>70</v>
      </c>
      <c r="R49">
        <f t="shared" si="18"/>
        <v>45</v>
      </c>
      <c r="S49">
        <f t="shared" si="19"/>
        <v>11.369999999999997</v>
      </c>
      <c r="T49" s="7">
        <f t="shared" si="20"/>
        <v>0.2526666666666666</v>
      </c>
      <c r="V49" s="8">
        <f t="shared" si="21"/>
        <v>10</v>
      </c>
      <c r="W49" s="8">
        <f t="shared" si="22"/>
        <v>2.7999999999999972</v>
      </c>
      <c r="Y49">
        <f t="shared" si="23"/>
        <v>63</v>
      </c>
      <c r="Z49">
        <f t="shared" si="24"/>
        <v>15.779999999999998</v>
      </c>
      <c r="AA49" s="7">
        <f t="shared" si="25"/>
        <v>0.25047619047619046</v>
      </c>
      <c r="AC49" s="8">
        <f t="shared" si="26"/>
        <v>-8</v>
      </c>
      <c r="AD49" s="8">
        <f t="shared" si="27"/>
        <v>7.2099999999999973</v>
      </c>
    </row>
    <row r="50" spans="1:30" x14ac:dyDescent="0.35">
      <c r="A50" s="2">
        <v>50</v>
      </c>
      <c r="B50" s="2" t="s">
        <v>378</v>
      </c>
      <c r="C50" s="2" t="s">
        <v>396</v>
      </c>
      <c r="D50" s="3">
        <v>5.29</v>
      </c>
      <c r="E50" s="3">
        <v>0</v>
      </c>
      <c r="F50" s="3">
        <v>0</v>
      </c>
      <c r="G50" s="3">
        <v>1.2</v>
      </c>
      <c r="H50" s="15">
        <v>6.49</v>
      </c>
      <c r="I50" s="3">
        <v>52</v>
      </c>
      <c r="K50">
        <f t="shared" si="14"/>
        <v>8.9099999999999984</v>
      </c>
      <c r="L50" s="7">
        <f t="shared" si="15"/>
        <v>0.17134615384615381</v>
      </c>
      <c r="N50">
        <f t="shared" si="16"/>
        <v>67</v>
      </c>
      <c r="P50" s="8">
        <f t="shared" si="17"/>
        <v>67</v>
      </c>
      <c r="R50">
        <f t="shared" si="18"/>
        <v>39</v>
      </c>
      <c r="S50">
        <f t="shared" si="19"/>
        <v>9.8199999999999985</v>
      </c>
      <c r="T50" s="7">
        <f t="shared" si="20"/>
        <v>0.25179487179487176</v>
      </c>
      <c r="V50" s="8">
        <f t="shared" si="21"/>
        <v>13</v>
      </c>
      <c r="W50" s="8">
        <f t="shared" si="22"/>
        <v>0.91000000000000014</v>
      </c>
      <c r="Y50">
        <f t="shared" si="23"/>
        <v>55</v>
      </c>
      <c r="Z50">
        <f t="shared" si="24"/>
        <v>13.809999999999997</v>
      </c>
      <c r="AA50" s="7">
        <f t="shared" si="25"/>
        <v>0.25109090909090903</v>
      </c>
      <c r="AC50" s="8">
        <f t="shared" si="26"/>
        <v>-3</v>
      </c>
      <c r="AD50" s="8">
        <f t="shared" si="27"/>
        <v>4.8999999999999986</v>
      </c>
    </row>
    <row r="51" spans="1:30" x14ac:dyDescent="0.35">
      <c r="A51" s="2">
        <v>51</v>
      </c>
      <c r="B51" s="2" t="s">
        <v>378</v>
      </c>
      <c r="C51" s="2" t="s">
        <v>397</v>
      </c>
      <c r="D51" s="3">
        <v>7.42</v>
      </c>
      <c r="E51" s="3">
        <v>0</v>
      </c>
      <c r="F51" s="3">
        <v>0</v>
      </c>
      <c r="G51" s="3">
        <v>1.2</v>
      </c>
      <c r="H51" s="15">
        <v>8.6199999999999992</v>
      </c>
      <c r="I51" s="3">
        <v>56</v>
      </c>
      <c r="K51">
        <f t="shared" si="14"/>
        <v>8.1799999999999979</v>
      </c>
      <c r="L51" s="7">
        <f t="shared" si="15"/>
        <v>0.14607142857142855</v>
      </c>
      <c r="N51">
        <f t="shared" si="16"/>
        <v>72</v>
      </c>
      <c r="P51" s="8">
        <f t="shared" si="17"/>
        <v>72</v>
      </c>
      <c r="R51">
        <f t="shared" si="18"/>
        <v>48</v>
      </c>
      <c r="S51">
        <f t="shared" si="19"/>
        <v>12.099999999999996</v>
      </c>
      <c r="T51" s="7">
        <f t="shared" si="20"/>
        <v>0.25208333333333327</v>
      </c>
      <c r="V51" s="8">
        <f t="shared" si="21"/>
        <v>8</v>
      </c>
      <c r="W51" s="8">
        <f t="shared" si="22"/>
        <v>3.9199999999999982</v>
      </c>
      <c r="Y51">
        <f t="shared" si="23"/>
        <v>67</v>
      </c>
      <c r="Z51">
        <f t="shared" si="24"/>
        <v>16.72</v>
      </c>
      <c r="AA51" s="7">
        <f t="shared" si="25"/>
        <v>0.24955223880597013</v>
      </c>
      <c r="AC51" s="8">
        <f t="shared" si="26"/>
        <v>-11</v>
      </c>
      <c r="AD51" s="8">
        <f t="shared" si="27"/>
        <v>8.5400000000000009</v>
      </c>
    </row>
    <row r="52" spans="1:30" x14ac:dyDescent="0.35">
      <c r="A52" s="2">
        <v>52</v>
      </c>
      <c r="B52" s="2" t="s">
        <v>378</v>
      </c>
      <c r="C52" s="2" t="s">
        <v>398</v>
      </c>
      <c r="D52" s="3">
        <v>6.8</v>
      </c>
      <c r="E52" s="3">
        <v>0</v>
      </c>
      <c r="F52" s="3">
        <v>0</v>
      </c>
      <c r="G52" s="3">
        <v>1.2</v>
      </c>
      <c r="H52" s="15">
        <v>8</v>
      </c>
      <c r="I52" s="3">
        <v>56</v>
      </c>
      <c r="K52">
        <f t="shared" si="14"/>
        <v>8.7999999999999972</v>
      </c>
      <c r="L52" s="7">
        <f t="shared" si="15"/>
        <v>0.15714285714285708</v>
      </c>
      <c r="N52">
        <f t="shared" si="16"/>
        <v>71</v>
      </c>
      <c r="P52" s="8">
        <f t="shared" si="17"/>
        <v>71</v>
      </c>
      <c r="R52">
        <f t="shared" si="18"/>
        <v>45</v>
      </c>
      <c r="S52">
        <f t="shared" si="19"/>
        <v>11.249999999999996</v>
      </c>
      <c r="T52" s="7">
        <f t="shared" si="20"/>
        <v>0.24999999999999992</v>
      </c>
      <c r="V52" s="8">
        <f t="shared" si="21"/>
        <v>11</v>
      </c>
      <c r="W52" s="8">
        <f t="shared" si="22"/>
        <v>2.4499999999999993</v>
      </c>
      <c r="Y52">
        <f t="shared" si="23"/>
        <v>64</v>
      </c>
      <c r="Z52">
        <f t="shared" si="24"/>
        <v>16.079999999999998</v>
      </c>
      <c r="AA52" s="7">
        <f t="shared" si="25"/>
        <v>0.25124999999999997</v>
      </c>
      <c r="AC52" s="8">
        <f t="shared" si="26"/>
        <v>-8</v>
      </c>
      <c r="AD52" s="8">
        <f t="shared" si="27"/>
        <v>7.2800000000000011</v>
      </c>
    </row>
    <row r="53" spans="1:30" x14ac:dyDescent="0.35">
      <c r="A53" s="2">
        <v>53</v>
      </c>
      <c r="B53" s="2" t="s">
        <v>378</v>
      </c>
      <c r="C53" s="2" t="s">
        <v>399</v>
      </c>
      <c r="D53" s="3">
        <v>7.13</v>
      </c>
      <c r="E53" s="3">
        <v>0</v>
      </c>
      <c r="F53" s="3">
        <v>0</v>
      </c>
      <c r="G53" s="3">
        <v>1.2</v>
      </c>
      <c r="H53" s="15">
        <v>8.33</v>
      </c>
      <c r="I53" s="3">
        <v>58</v>
      </c>
      <c r="K53">
        <f t="shared" si="14"/>
        <v>9.17</v>
      </c>
      <c r="L53" s="7">
        <f t="shared" si="15"/>
        <v>0.15810344827586206</v>
      </c>
      <c r="N53">
        <f t="shared" si="16"/>
        <v>71</v>
      </c>
      <c r="P53" s="8">
        <f t="shared" si="17"/>
        <v>71</v>
      </c>
      <c r="R53">
        <f t="shared" si="18"/>
        <v>46</v>
      </c>
      <c r="S53">
        <f t="shared" si="19"/>
        <v>11.409999999999995</v>
      </c>
      <c r="T53" s="7">
        <f t="shared" si="20"/>
        <v>0.24804347826086945</v>
      </c>
      <c r="V53" s="8">
        <f t="shared" si="21"/>
        <v>12</v>
      </c>
      <c r="W53" s="8">
        <f t="shared" si="22"/>
        <v>2.2399999999999949</v>
      </c>
      <c r="Y53">
        <f t="shared" si="23"/>
        <v>65</v>
      </c>
      <c r="Z53">
        <f t="shared" si="24"/>
        <v>16.170000000000002</v>
      </c>
      <c r="AA53" s="7">
        <f t="shared" si="25"/>
        <v>0.2487692307692308</v>
      </c>
      <c r="AC53" s="8">
        <f t="shared" si="26"/>
        <v>-7</v>
      </c>
      <c r="AD53" s="8">
        <f t="shared" si="27"/>
        <v>7.0000000000000018</v>
      </c>
    </row>
    <row r="54" spans="1:30" x14ac:dyDescent="0.35">
      <c r="A54" s="2">
        <v>54</v>
      </c>
      <c r="B54" s="2" t="s">
        <v>378</v>
      </c>
      <c r="C54" s="2" t="s">
        <v>400</v>
      </c>
      <c r="D54" s="3">
        <v>7.7</v>
      </c>
      <c r="E54" s="3">
        <v>0</v>
      </c>
      <c r="F54" s="3">
        <v>0</v>
      </c>
      <c r="G54" s="3">
        <v>1.2</v>
      </c>
      <c r="H54" s="15">
        <v>8.9</v>
      </c>
      <c r="I54" s="2">
        <v>52</v>
      </c>
      <c r="K54">
        <f t="shared" si="14"/>
        <v>6.4999999999999982</v>
      </c>
      <c r="L54" s="7">
        <f t="shared" si="15"/>
        <v>0.12499999999999997</v>
      </c>
      <c r="N54">
        <f t="shared" si="16"/>
        <v>73</v>
      </c>
      <c r="P54" s="8">
        <f t="shared" si="17"/>
        <v>73</v>
      </c>
      <c r="R54">
        <f t="shared" si="18"/>
        <v>49</v>
      </c>
      <c r="S54">
        <f t="shared" si="19"/>
        <v>12.309999999999997</v>
      </c>
      <c r="T54" s="7">
        <f t="shared" si="20"/>
        <v>0.25122448979591833</v>
      </c>
      <c r="V54" s="8">
        <f t="shared" si="21"/>
        <v>3</v>
      </c>
      <c r="W54" s="8">
        <f t="shared" si="22"/>
        <v>5.8099999999999987</v>
      </c>
      <c r="Y54">
        <f t="shared" si="23"/>
        <v>69</v>
      </c>
      <c r="Z54">
        <f t="shared" si="24"/>
        <v>17.279999999999994</v>
      </c>
      <c r="AA54" s="7">
        <f t="shared" si="25"/>
        <v>0.25043478260869556</v>
      </c>
      <c r="AC54" s="8">
        <f t="shared" si="26"/>
        <v>-17</v>
      </c>
      <c r="AD54" s="8">
        <f t="shared" si="27"/>
        <v>10.779999999999996</v>
      </c>
    </row>
    <row r="55" spans="1:30" x14ac:dyDescent="0.35">
      <c r="A55" s="2">
        <v>55</v>
      </c>
      <c r="B55" s="2" t="s">
        <v>378</v>
      </c>
      <c r="C55" s="2" t="s">
        <v>401</v>
      </c>
      <c r="D55" s="3">
        <v>8.27</v>
      </c>
      <c r="E55" s="3">
        <v>0</v>
      </c>
      <c r="F55" s="3">
        <v>0</v>
      </c>
      <c r="G55" s="3">
        <v>1.2</v>
      </c>
      <c r="H55" s="15">
        <v>9.4700000000000006</v>
      </c>
      <c r="I55" s="3">
        <v>57</v>
      </c>
      <c r="K55">
        <f t="shared" si="14"/>
        <v>7.6799999999999979</v>
      </c>
      <c r="L55" s="7">
        <f t="shared" si="15"/>
        <v>0.13473684210526313</v>
      </c>
      <c r="N55">
        <f t="shared" si="16"/>
        <v>74</v>
      </c>
      <c r="P55" s="8">
        <f t="shared" si="17"/>
        <v>74</v>
      </c>
      <c r="R55">
        <f t="shared" si="18"/>
        <v>51</v>
      </c>
      <c r="S55">
        <f t="shared" si="19"/>
        <v>12.719999999999994</v>
      </c>
      <c r="T55" s="7">
        <f t="shared" si="20"/>
        <v>0.24941176470588222</v>
      </c>
      <c r="V55" s="8">
        <f t="shared" si="21"/>
        <v>6</v>
      </c>
      <c r="W55" s="8">
        <f t="shared" si="22"/>
        <v>5.0399999999999956</v>
      </c>
      <c r="Y55">
        <f t="shared" si="23"/>
        <v>72</v>
      </c>
      <c r="Z55">
        <f t="shared" si="24"/>
        <v>17.969999999999992</v>
      </c>
      <c r="AA55" s="7">
        <f t="shared" si="25"/>
        <v>0.24958333333333321</v>
      </c>
      <c r="AC55" s="8">
        <f t="shared" si="26"/>
        <v>-15</v>
      </c>
      <c r="AD55" s="8">
        <f t="shared" si="27"/>
        <v>10.289999999999994</v>
      </c>
    </row>
    <row r="56" spans="1:30" x14ac:dyDescent="0.35">
      <c r="A56" s="2">
        <v>56</v>
      </c>
      <c r="B56" s="2" t="s">
        <v>378</v>
      </c>
      <c r="C56" s="2" t="s">
        <v>402</v>
      </c>
      <c r="D56" s="3">
        <v>5.22</v>
      </c>
      <c r="E56" s="3">
        <v>0</v>
      </c>
      <c r="F56" s="3">
        <v>0</v>
      </c>
      <c r="G56" s="3">
        <v>1.2</v>
      </c>
      <c r="H56" s="15">
        <v>6.42</v>
      </c>
      <c r="I56" s="2">
        <v>52</v>
      </c>
      <c r="K56">
        <f t="shared" si="14"/>
        <v>8.9799999999999986</v>
      </c>
      <c r="L56" s="7">
        <f t="shared" si="15"/>
        <v>0.17269230769230767</v>
      </c>
      <c r="N56">
        <f t="shared" si="16"/>
        <v>67</v>
      </c>
      <c r="P56" s="8">
        <f t="shared" si="17"/>
        <v>67</v>
      </c>
      <c r="R56">
        <f t="shared" si="18"/>
        <v>38</v>
      </c>
      <c r="S56">
        <f t="shared" si="19"/>
        <v>9.3999999999999968</v>
      </c>
      <c r="T56" s="7">
        <f t="shared" si="20"/>
        <v>0.24736842105263149</v>
      </c>
      <c r="V56" s="8">
        <f t="shared" si="21"/>
        <v>14</v>
      </c>
      <c r="W56" s="8">
        <f t="shared" si="22"/>
        <v>0.41999999999999815</v>
      </c>
      <c r="Y56">
        <f t="shared" si="23"/>
        <v>54</v>
      </c>
      <c r="Z56">
        <f t="shared" si="24"/>
        <v>13.459999999999999</v>
      </c>
      <c r="AA56" s="7">
        <f t="shared" si="25"/>
        <v>0.24925925925925924</v>
      </c>
      <c r="AC56" s="8">
        <f t="shared" si="26"/>
        <v>-2</v>
      </c>
      <c r="AD56" s="8">
        <f t="shared" si="27"/>
        <v>4.4800000000000004</v>
      </c>
    </row>
    <row r="57" spans="1:30" x14ac:dyDescent="0.35">
      <c r="A57" s="2">
        <v>57</v>
      </c>
      <c r="B57" s="2" t="s">
        <v>378</v>
      </c>
      <c r="C57" s="2" t="s">
        <v>403</v>
      </c>
      <c r="D57" s="3">
        <v>2.79</v>
      </c>
      <c r="E57" s="3">
        <v>0</v>
      </c>
      <c r="F57" s="3">
        <v>0</v>
      </c>
      <c r="G57" s="3">
        <v>1.2</v>
      </c>
      <c r="H57" s="15">
        <v>3.99</v>
      </c>
      <c r="I57" s="3">
        <v>48</v>
      </c>
      <c r="K57">
        <f t="shared" si="14"/>
        <v>10.01</v>
      </c>
      <c r="L57" s="7">
        <f t="shared" si="15"/>
        <v>0.20854166666666665</v>
      </c>
      <c r="N57">
        <f t="shared" si="16"/>
        <v>62</v>
      </c>
      <c r="P57" s="8">
        <f t="shared" si="17"/>
        <v>62</v>
      </c>
      <c r="R57">
        <f t="shared" si="18"/>
        <v>28</v>
      </c>
      <c r="S57">
        <f t="shared" si="19"/>
        <v>6.9299999999999979</v>
      </c>
      <c r="T57" s="7">
        <f t="shared" si="20"/>
        <v>0.24749999999999991</v>
      </c>
      <c r="V57" s="8">
        <f t="shared" si="21"/>
        <v>20</v>
      </c>
      <c r="W57" s="8">
        <f t="shared" si="22"/>
        <v>-3.0800000000000018</v>
      </c>
      <c r="Y57">
        <f t="shared" si="23"/>
        <v>40</v>
      </c>
      <c r="Z57">
        <f t="shared" si="24"/>
        <v>10.01</v>
      </c>
      <c r="AA57" s="7">
        <f t="shared" si="25"/>
        <v>0.25024999999999997</v>
      </c>
      <c r="AC57" s="8">
        <f t="shared" si="26"/>
        <v>8</v>
      </c>
      <c r="AD57" s="8">
        <f t="shared" si="27"/>
        <v>0</v>
      </c>
    </row>
    <row r="58" spans="1:30" x14ac:dyDescent="0.35">
      <c r="A58" s="2">
        <v>58</v>
      </c>
      <c r="B58" s="2" t="s">
        <v>404</v>
      </c>
      <c r="C58" s="2" t="s">
        <v>405</v>
      </c>
      <c r="D58" s="3">
        <v>6.53</v>
      </c>
      <c r="E58" s="3">
        <v>0</v>
      </c>
      <c r="F58" s="3">
        <v>0</v>
      </c>
      <c r="G58" s="3">
        <v>1.2</v>
      </c>
      <c r="H58" s="15">
        <v>7.73</v>
      </c>
      <c r="I58" s="3">
        <v>59</v>
      </c>
      <c r="K58">
        <f t="shared" si="14"/>
        <v>10.119999999999997</v>
      </c>
      <c r="L58" s="7">
        <f t="shared" si="15"/>
        <v>0.17152542372881352</v>
      </c>
      <c r="N58">
        <f t="shared" si="16"/>
        <v>70</v>
      </c>
      <c r="P58" s="8">
        <f t="shared" si="17"/>
        <v>70</v>
      </c>
      <c r="R58">
        <f t="shared" si="18"/>
        <v>44</v>
      </c>
      <c r="S58">
        <f t="shared" si="19"/>
        <v>11.029999999999998</v>
      </c>
      <c r="T58" s="7">
        <f t="shared" si="20"/>
        <v>0.25068181818181812</v>
      </c>
      <c r="V58" s="8">
        <f t="shared" si="21"/>
        <v>15</v>
      </c>
      <c r="W58" s="8">
        <f t="shared" si="22"/>
        <v>0.91000000000000014</v>
      </c>
      <c r="Y58">
        <f t="shared" si="23"/>
        <v>62</v>
      </c>
      <c r="Z58">
        <f t="shared" si="24"/>
        <v>15.509999999999994</v>
      </c>
      <c r="AA58" s="7">
        <f t="shared" si="25"/>
        <v>0.25016129032258055</v>
      </c>
      <c r="AC58" s="8">
        <f t="shared" si="26"/>
        <v>-3</v>
      </c>
      <c r="AD58" s="8">
        <f t="shared" si="27"/>
        <v>5.389999999999997</v>
      </c>
    </row>
    <row r="59" spans="1:30" x14ac:dyDescent="0.35">
      <c r="A59" s="2">
        <v>59</v>
      </c>
      <c r="B59" s="2" t="s">
        <v>404</v>
      </c>
      <c r="C59" s="2" t="s">
        <v>406</v>
      </c>
      <c r="D59" s="3">
        <v>9.3699999999999992</v>
      </c>
      <c r="E59" s="3">
        <v>0</v>
      </c>
      <c r="F59" s="3">
        <v>0</v>
      </c>
      <c r="G59" s="3">
        <v>1.2</v>
      </c>
      <c r="H59" s="15">
        <v>10.57</v>
      </c>
      <c r="I59" s="3">
        <v>60</v>
      </c>
      <c r="K59">
        <f t="shared" si="14"/>
        <v>7.629999999999999</v>
      </c>
      <c r="L59" s="7">
        <f t="shared" si="15"/>
        <v>0.12716666666666665</v>
      </c>
      <c r="N59">
        <f t="shared" si="16"/>
        <v>76</v>
      </c>
      <c r="P59" s="8">
        <f t="shared" si="17"/>
        <v>76</v>
      </c>
      <c r="R59">
        <f t="shared" si="18"/>
        <v>56</v>
      </c>
      <c r="S59">
        <f t="shared" si="19"/>
        <v>14.069999999999997</v>
      </c>
      <c r="T59" s="7">
        <f t="shared" si="20"/>
        <v>0.25124999999999992</v>
      </c>
      <c r="V59" s="8">
        <f t="shared" si="21"/>
        <v>4</v>
      </c>
      <c r="W59" s="8">
        <f t="shared" si="22"/>
        <v>6.4399999999999977</v>
      </c>
      <c r="Y59">
        <f t="shared" si="23"/>
        <v>79</v>
      </c>
      <c r="Z59">
        <f t="shared" si="24"/>
        <v>19.809999999999995</v>
      </c>
      <c r="AA59" s="7">
        <f t="shared" si="25"/>
        <v>0.25075949367088601</v>
      </c>
      <c r="AC59" s="8">
        <f t="shared" si="26"/>
        <v>-19</v>
      </c>
      <c r="AD59" s="8">
        <f t="shared" si="27"/>
        <v>12.179999999999996</v>
      </c>
    </row>
    <row r="60" spans="1:30" x14ac:dyDescent="0.35">
      <c r="A60" s="2">
        <v>60</v>
      </c>
      <c r="B60" s="2" t="s">
        <v>404</v>
      </c>
      <c r="C60" s="2" t="s">
        <v>407</v>
      </c>
      <c r="D60" s="3">
        <v>5.83</v>
      </c>
      <c r="E60" s="3">
        <v>0</v>
      </c>
      <c r="F60" s="3">
        <v>0</v>
      </c>
      <c r="G60" s="3">
        <v>1.2</v>
      </c>
      <c r="H60" s="15">
        <v>7.03</v>
      </c>
      <c r="I60" s="3">
        <v>56</v>
      </c>
      <c r="K60">
        <f t="shared" si="14"/>
        <v>9.769999999999996</v>
      </c>
      <c r="L60" s="7">
        <f t="shared" si="15"/>
        <v>0.17446428571428566</v>
      </c>
      <c r="N60">
        <f t="shared" si="16"/>
        <v>69</v>
      </c>
      <c r="P60" s="8">
        <f t="shared" si="17"/>
        <v>69</v>
      </c>
      <c r="R60">
        <f t="shared" si="18"/>
        <v>41</v>
      </c>
      <c r="S60">
        <f t="shared" si="19"/>
        <v>10.259999999999998</v>
      </c>
      <c r="T60" s="7">
        <f t="shared" si="20"/>
        <v>0.25024390243902433</v>
      </c>
      <c r="V60" s="8">
        <f t="shared" si="21"/>
        <v>15</v>
      </c>
      <c r="W60" s="8">
        <f t="shared" si="22"/>
        <v>0.49000000000000199</v>
      </c>
      <c r="Y60">
        <f t="shared" si="23"/>
        <v>58</v>
      </c>
      <c r="Z60">
        <f t="shared" si="24"/>
        <v>14.529999999999994</v>
      </c>
      <c r="AA60" s="7">
        <f t="shared" si="25"/>
        <v>0.25051724137931025</v>
      </c>
      <c r="AC60" s="8">
        <f t="shared" si="26"/>
        <v>-2</v>
      </c>
      <c r="AD60" s="8">
        <f t="shared" si="27"/>
        <v>4.759999999999998</v>
      </c>
    </row>
    <row r="61" spans="1:30" x14ac:dyDescent="0.35">
      <c r="A61" s="2">
        <v>61</v>
      </c>
      <c r="B61" s="2" t="s">
        <v>404</v>
      </c>
      <c r="C61" s="2" t="s">
        <v>408</v>
      </c>
      <c r="D61" s="3">
        <v>5.48</v>
      </c>
      <c r="E61" s="3">
        <v>0</v>
      </c>
      <c r="F61" s="3">
        <v>0</v>
      </c>
      <c r="G61" s="3">
        <v>1.2</v>
      </c>
      <c r="H61" s="15">
        <v>6.68</v>
      </c>
      <c r="I61" s="3">
        <v>62</v>
      </c>
      <c r="K61">
        <f t="shared" si="14"/>
        <v>12.919999999999998</v>
      </c>
      <c r="L61" s="7">
        <f t="shared" si="15"/>
        <v>0.20838709677419351</v>
      </c>
      <c r="N61">
        <f t="shared" si="16"/>
        <v>68</v>
      </c>
      <c r="P61" s="8">
        <f t="shared" si="17"/>
        <v>68</v>
      </c>
      <c r="R61">
        <f t="shared" si="18"/>
        <v>40</v>
      </c>
      <c r="S61">
        <f t="shared" si="19"/>
        <v>10.119999999999997</v>
      </c>
      <c r="T61" s="7">
        <f t="shared" si="20"/>
        <v>0.25299999999999995</v>
      </c>
      <c r="V61" s="8">
        <f t="shared" si="21"/>
        <v>22</v>
      </c>
      <c r="W61" s="8">
        <f t="shared" si="22"/>
        <v>-2.8000000000000007</v>
      </c>
      <c r="Y61">
        <f t="shared" si="23"/>
        <v>56</v>
      </c>
      <c r="Z61">
        <f t="shared" si="24"/>
        <v>14.04</v>
      </c>
      <c r="AA61" s="7">
        <f t="shared" si="25"/>
        <v>0.25071428571428572</v>
      </c>
      <c r="AC61" s="8">
        <f t="shared" si="26"/>
        <v>6</v>
      </c>
      <c r="AD61" s="8">
        <f t="shared" si="27"/>
        <v>1.120000000000001</v>
      </c>
    </row>
    <row r="62" spans="1:30" x14ac:dyDescent="0.35">
      <c r="A62" s="2">
        <v>62</v>
      </c>
      <c r="B62" s="2" t="s">
        <v>404</v>
      </c>
      <c r="C62" s="2" t="s">
        <v>409</v>
      </c>
      <c r="D62" s="3">
        <v>6.07</v>
      </c>
      <c r="E62" s="3">
        <v>0</v>
      </c>
      <c r="F62" s="3">
        <v>0</v>
      </c>
      <c r="G62" s="3">
        <v>1.2</v>
      </c>
      <c r="H62" s="15">
        <v>7.27</v>
      </c>
      <c r="I62" s="3">
        <v>59</v>
      </c>
      <c r="K62">
        <f t="shared" si="14"/>
        <v>10.579999999999998</v>
      </c>
      <c r="L62" s="7">
        <f t="shared" si="15"/>
        <v>0.17932203389830506</v>
      </c>
      <c r="N62">
        <f t="shared" si="16"/>
        <v>69</v>
      </c>
      <c r="P62" s="8">
        <f t="shared" si="17"/>
        <v>69</v>
      </c>
      <c r="R62">
        <f t="shared" si="18"/>
        <v>42</v>
      </c>
      <c r="S62">
        <f t="shared" si="19"/>
        <v>10.509999999999998</v>
      </c>
      <c r="T62" s="7">
        <f t="shared" si="20"/>
        <v>0.2502380952380952</v>
      </c>
      <c r="V62" s="8">
        <f t="shared" si="21"/>
        <v>17</v>
      </c>
      <c r="W62" s="8">
        <f t="shared" si="22"/>
        <v>-7.0000000000000284E-2</v>
      </c>
      <c r="Y62">
        <f t="shared" si="23"/>
        <v>59</v>
      </c>
      <c r="Z62">
        <f t="shared" si="24"/>
        <v>14.709999999999997</v>
      </c>
      <c r="AA62" s="7">
        <f t="shared" si="25"/>
        <v>0.24932203389830504</v>
      </c>
      <c r="AC62" s="8">
        <f t="shared" si="26"/>
        <v>0</v>
      </c>
      <c r="AD62" s="8">
        <f t="shared" si="27"/>
        <v>4.129999999999999</v>
      </c>
    </row>
    <row r="63" spans="1:30" x14ac:dyDescent="0.35">
      <c r="A63" s="2">
        <v>63</v>
      </c>
      <c r="B63" s="2" t="s">
        <v>404</v>
      </c>
      <c r="C63" s="2" t="s">
        <v>410</v>
      </c>
      <c r="D63" s="3">
        <v>4.6100000000000003</v>
      </c>
      <c r="E63" s="3">
        <v>0</v>
      </c>
      <c r="F63" s="3">
        <v>0</v>
      </c>
      <c r="G63" s="3">
        <v>1.2</v>
      </c>
      <c r="H63" s="15">
        <v>5.81</v>
      </c>
      <c r="I63" s="3">
        <v>58</v>
      </c>
      <c r="K63">
        <f t="shared" si="14"/>
        <v>11.690000000000001</v>
      </c>
      <c r="L63" s="7">
        <f t="shared" si="15"/>
        <v>0.20155172413793104</v>
      </c>
      <c r="N63">
        <f t="shared" si="16"/>
        <v>66</v>
      </c>
      <c r="P63" s="8">
        <f t="shared" si="17"/>
        <v>66</v>
      </c>
      <c r="R63">
        <f t="shared" si="18"/>
        <v>36</v>
      </c>
      <c r="S63">
        <f t="shared" si="19"/>
        <v>9.0299999999999976</v>
      </c>
      <c r="T63" s="7">
        <f t="shared" si="20"/>
        <v>0.25083333333333324</v>
      </c>
      <c r="V63" s="8">
        <f t="shared" si="21"/>
        <v>22</v>
      </c>
      <c r="W63" s="8">
        <f t="shared" si="22"/>
        <v>-2.6600000000000037</v>
      </c>
      <c r="Y63">
        <f t="shared" si="23"/>
        <v>51</v>
      </c>
      <c r="Z63">
        <f t="shared" si="24"/>
        <v>12.809999999999999</v>
      </c>
      <c r="AA63" s="7">
        <f t="shared" si="25"/>
        <v>0.25117647058823528</v>
      </c>
      <c r="AC63" s="8">
        <f t="shared" si="26"/>
        <v>7</v>
      </c>
      <c r="AD63" s="8">
        <f t="shared" si="27"/>
        <v>1.1199999999999974</v>
      </c>
    </row>
    <row r="64" spans="1:30" x14ac:dyDescent="0.35">
      <c r="A64" s="2">
        <v>64</v>
      </c>
      <c r="B64" s="2" t="s">
        <v>404</v>
      </c>
      <c r="C64" s="2" t="s">
        <v>411</v>
      </c>
      <c r="D64" s="3">
        <v>3.85</v>
      </c>
      <c r="E64" s="3">
        <v>0</v>
      </c>
      <c r="F64" s="3">
        <v>0</v>
      </c>
      <c r="G64" s="3">
        <v>1.2</v>
      </c>
      <c r="H64" s="15">
        <v>5.05</v>
      </c>
      <c r="I64" s="3">
        <v>62</v>
      </c>
      <c r="K64">
        <f t="shared" si="14"/>
        <v>14.549999999999997</v>
      </c>
      <c r="L64" s="7">
        <f t="shared" si="15"/>
        <v>0.23467741935483866</v>
      </c>
      <c r="N64">
        <f t="shared" si="16"/>
        <v>64</v>
      </c>
      <c r="P64" s="8">
        <f t="shared" si="17"/>
        <v>64</v>
      </c>
      <c r="R64">
        <f t="shared" si="18"/>
        <v>33</v>
      </c>
      <c r="S64">
        <f t="shared" si="19"/>
        <v>8.3199999999999967</v>
      </c>
      <c r="T64" s="7">
        <f t="shared" si="20"/>
        <v>0.25212121212121202</v>
      </c>
      <c r="V64" s="8">
        <f t="shared" si="21"/>
        <v>29</v>
      </c>
      <c r="W64" s="8">
        <f t="shared" si="22"/>
        <v>-6.23</v>
      </c>
      <c r="Y64">
        <f t="shared" si="23"/>
        <v>46</v>
      </c>
      <c r="Z64">
        <f t="shared" si="24"/>
        <v>11.469999999999995</v>
      </c>
      <c r="AA64" s="7">
        <f t="shared" si="25"/>
        <v>0.24934782608695641</v>
      </c>
      <c r="AC64" s="8">
        <f t="shared" si="26"/>
        <v>16</v>
      </c>
      <c r="AD64" s="8">
        <f t="shared" si="27"/>
        <v>-3.0800000000000018</v>
      </c>
    </row>
    <row r="65" spans="1:30" x14ac:dyDescent="0.35">
      <c r="A65" s="2">
        <v>65</v>
      </c>
      <c r="B65" s="2" t="s">
        <v>404</v>
      </c>
      <c r="C65" s="2" t="s">
        <v>412</v>
      </c>
      <c r="D65" s="3">
        <v>9.6</v>
      </c>
      <c r="E65" s="3">
        <v>0</v>
      </c>
      <c r="F65" s="3">
        <v>0</v>
      </c>
      <c r="G65" s="3">
        <v>1.2</v>
      </c>
      <c r="H65" s="15">
        <v>10.8</v>
      </c>
      <c r="I65" s="3">
        <v>69</v>
      </c>
      <c r="K65">
        <f t="shared" si="14"/>
        <v>13.7</v>
      </c>
      <c r="L65" s="7">
        <f t="shared" si="15"/>
        <v>0.19855072463768114</v>
      </c>
      <c r="N65">
        <f t="shared" si="16"/>
        <v>77</v>
      </c>
      <c r="P65" s="8">
        <f t="shared" si="17"/>
        <v>77</v>
      </c>
      <c r="R65">
        <f t="shared" si="18"/>
        <v>57</v>
      </c>
      <c r="S65">
        <f t="shared" si="19"/>
        <v>14.329999999999998</v>
      </c>
      <c r="T65" s="7">
        <f t="shared" si="20"/>
        <v>0.2514035087719298</v>
      </c>
      <c r="V65" s="8">
        <f t="shared" si="21"/>
        <v>12</v>
      </c>
      <c r="W65" s="8">
        <f t="shared" si="22"/>
        <v>0.62999999999999901</v>
      </c>
      <c r="Y65">
        <f t="shared" si="23"/>
        <v>80</v>
      </c>
      <c r="Z65">
        <f t="shared" si="24"/>
        <v>19.999999999999996</v>
      </c>
      <c r="AA65" s="7">
        <f t="shared" si="25"/>
        <v>0.24999999999999994</v>
      </c>
      <c r="AC65" s="8">
        <f t="shared" si="26"/>
        <v>-11</v>
      </c>
      <c r="AD65" s="8">
        <f t="shared" si="27"/>
        <v>6.2999999999999972</v>
      </c>
    </row>
    <row r="66" spans="1:30" x14ac:dyDescent="0.35">
      <c r="A66" s="2">
        <v>66</v>
      </c>
      <c r="B66" s="2" t="s">
        <v>404</v>
      </c>
      <c r="C66" s="2" t="s">
        <v>413</v>
      </c>
      <c r="D66" s="3">
        <v>9.9600000000000009</v>
      </c>
      <c r="E66" s="3">
        <v>0</v>
      </c>
      <c r="F66" s="3">
        <v>0</v>
      </c>
      <c r="G66" s="3">
        <v>1.2</v>
      </c>
      <c r="H66" s="15">
        <v>11.16</v>
      </c>
      <c r="I66" s="3">
        <v>69</v>
      </c>
      <c r="K66">
        <f t="shared" ref="K66:K97" si="28">IFERROR(((I66-MIN(I66/2,30)-4)*0.7)-$H66,0)</f>
        <v>13.34</v>
      </c>
      <c r="L66" s="7">
        <f t="shared" ref="L66:L97" si="29">K66/I66</f>
        <v>0.19333333333333333</v>
      </c>
      <c r="N66">
        <f t="shared" ref="N66:N97" si="30">ROUND(IF(H66&lt;=3.2,28+10*(H66),(23.8+H66)/0.45),0)</f>
        <v>78</v>
      </c>
      <c r="P66" s="8">
        <f t="shared" ref="P66:P97" si="31">MAX(N66,I66)</f>
        <v>78</v>
      </c>
      <c r="R66">
        <f t="shared" ref="R66:R97" si="32">ROUND((4.17*H66)+11.67,0)</f>
        <v>58</v>
      </c>
      <c r="S66">
        <f t="shared" ref="S66:S97" si="33">(((R66*0.7)-4)*0.7)-H66</f>
        <v>14.459999999999994</v>
      </c>
      <c r="T66" s="7">
        <f t="shared" ref="T66:T97" si="34">S66/R66</f>
        <v>0.2493103448275861</v>
      </c>
      <c r="V66" s="8">
        <f t="shared" ref="V66:V97" si="35">I66-R66</f>
        <v>11</v>
      </c>
      <c r="W66" s="8">
        <f t="shared" ref="W66:W97" si="36">S66-K66</f>
        <v>1.1199999999999939</v>
      </c>
      <c r="Y66">
        <f t="shared" ref="Y66:Y97" si="37">ROUND((5.88*H66)+16.47,0)</f>
        <v>82</v>
      </c>
      <c r="Z66">
        <f t="shared" ref="Z66:Z97" si="38">(((Y66*0.6)-4)*0.7)-H66</f>
        <v>20.479999999999993</v>
      </c>
      <c r="AA66" s="7">
        <f t="shared" ref="AA66:AA97" si="39">Z66/Y66</f>
        <v>0.24975609756097553</v>
      </c>
      <c r="AC66" s="8">
        <f t="shared" ref="AC66:AC97" si="40">I66-Y66</f>
        <v>-13</v>
      </c>
      <c r="AD66" s="8">
        <f t="shared" ref="AD66:AD97" si="41">Z66-K66</f>
        <v>7.1399999999999935</v>
      </c>
    </row>
    <row r="67" spans="1:30" x14ac:dyDescent="0.35">
      <c r="A67" s="2">
        <v>67</v>
      </c>
      <c r="B67" s="2" t="s">
        <v>404</v>
      </c>
      <c r="C67" s="2" t="s">
        <v>414</v>
      </c>
      <c r="D67" s="3">
        <v>8.49</v>
      </c>
      <c r="E67" s="3">
        <v>0</v>
      </c>
      <c r="F67" s="3">
        <v>0</v>
      </c>
      <c r="G67" s="3">
        <v>1.2</v>
      </c>
      <c r="H67" s="15">
        <v>9.69</v>
      </c>
      <c r="I67" s="3">
        <v>66</v>
      </c>
      <c r="K67">
        <f t="shared" si="28"/>
        <v>12.709999999999999</v>
      </c>
      <c r="L67" s="7">
        <f t="shared" si="29"/>
        <v>0.19257575757575757</v>
      </c>
      <c r="N67">
        <f t="shared" si="30"/>
        <v>74</v>
      </c>
      <c r="P67" s="8">
        <f t="shared" si="31"/>
        <v>74</v>
      </c>
      <c r="R67">
        <f t="shared" si="32"/>
        <v>52</v>
      </c>
      <c r="S67">
        <f t="shared" si="33"/>
        <v>12.989999999999997</v>
      </c>
      <c r="T67" s="7">
        <f t="shared" si="34"/>
        <v>0.24980769230769223</v>
      </c>
      <c r="V67" s="8">
        <f t="shared" si="35"/>
        <v>14</v>
      </c>
      <c r="W67" s="8">
        <f t="shared" si="36"/>
        <v>0.27999999999999758</v>
      </c>
      <c r="Y67">
        <f t="shared" si="37"/>
        <v>73</v>
      </c>
      <c r="Z67">
        <f t="shared" si="38"/>
        <v>18.169999999999995</v>
      </c>
      <c r="AA67" s="7">
        <f t="shared" si="39"/>
        <v>0.24890410958904102</v>
      </c>
      <c r="AC67" s="8">
        <f t="shared" si="40"/>
        <v>-7</v>
      </c>
      <c r="AD67" s="8">
        <f t="shared" si="41"/>
        <v>5.4599999999999955</v>
      </c>
    </row>
    <row r="68" spans="1:30" x14ac:dyDescent="0.35">
      <c r="A68" s="2">
        <v>68</v>
      </c>
      <c r="B68" s="2" t="s">
        <v>404</v>
      </c>
      <c r="C68" s="2" t="s">
        <v>415</v>
      </c>
      <c r="D68" s="3">
        <v>9.99</v>
      </c>
      <c r="E68" s="3">
        <v>0</v>
      </c>
      <c r="F68" s="3">
        <v>0</v>
      </c>
      <c r="G68" s="3">
        <v>1.2</v>
      </c>
      <c r="H68" s="15">
        <v>11.19</v>
      </c>
      <c r="I68" s="3">
        <v>69</v>
      </c>
      <c r="K68">
        <f t="shared" si="28"/>
        <v>13.31</v>
      </c>
      <c r="L68" s="7">
        <f t="shared" si="29"/>
        <v>0.19289855072463769</v>
      </c>
      <c r="N68">
        <f t="shared" si="30"/>
        <v>78</v>
      </c>
      <c r="P68" s="8">
        <f t="shared" si="31"/>
        <v>78</v>
      </c>
      <c r="R68">
        <f t="shared" si="32"/>
        <v>58</v>
      </c>
      <c r="S68">
        <f t="shared" si="33"/>
        <v>14.429999999999994</v>
      </c>
      <c r="T68" s="7">
        <f t="shared" si="34"/>
        <v>0.24879310344827577</v>
      </c>
      <c r="V68" s="8">
        <f t="shared" si="35"/>
        <v>11</v>
      </c>
      <c r="W68" s="8">
        <f t="shared" si="36"/>
        <v>1.1199999999999939</v>
      </c>
      <c r="Y68">
        <f t="shared" si="37"/>
        <v>82</v>
      </c>
      <c r="Z68">
        <f t="shared" si="38"/>
        <v>20.449999999999996</v>
      </c>
      <c r="AA68" s="7">
        <f t="shared" si="39"/>
        <v>0.24939024390243897</v>
      </c>
      <c r="AC68" s="8">
        <f t="shared" si="40"/>
        <v>-13</v>
      </c>
      <c r="AD68" s="8">
        <f t="shared" si="41"/>
        <v>7.1399999999999952</v>
      </c>
    </row>
    <row r="69" spans="1:30" x14ac:dyDescent="0.35">
      <c r="A69" s="2">
        <v>69</v>
      </c>
      <c r="B69" s="2" t="s">
        <v>404</v>
      </c>
      <c r="C69" s="2" t="s">
        <v>416</v>
      </c>
      <c r="D69" s="3">
        <v>9.91</v>
      </c>
      <c r="E69" s="3">
        <v>0</v>
      </c>
      <c r="F69" s="3">
        <v>0</v>
      </c>
      <c r="G69" s="3">
        <v>1.2</v>
      </c>
      <c r="H69" s="15">
        <v>11.11</v>
      </c>
      <c r="I69" s="2">
        <v>65</v>
      </c>
      <c r="K69">
        <f t="shared" si="28"/>
        <v>10.59</v>
      </c>
      <c r="L69" s="7">
        <f t="shared" si="29"/>
        <v>0.16292307692307692</v>
      </c>
      <c r="N69">
        <f t="shared" si="30"/>
        <v>78</v>
      </c>
      <c r="P69" s="8">
        <f t="shared" si="31"/>
        <v>78</v>
      </c>
      <c r="R69">
        <f t="shared" si="32"/>
        <v>58</v>
      </c>
      <c r="S69">
        <f t="shared" si="33"/>
        <v>14.509999999999994</v>
      </c>
      <c r="T69" s="7">
        <f t="shared" si="34"/>
        <v>0.25017241379310334</v>
      </c>
      <c r="V69" s="8">
        <f t="shared" si="35"/>
        <v>7</v>
      </c>
      <c r="W69" s="8">
        <f t="shared" si="36"/>
        <v>3.9199999999999946</v>
      </c>
      <c r="Y69">
        <f t="shared" si="37"/>
        <v>82</v>
      </c>
      <c r="Z69">
        <f t="shared" si="38"/>
        <v>20.529999999999994</v>
      </c>
      <c r="AA69" s="7">
        <f t="shared" si="39"/>
        <v>0.25036585365853653</v>
      </c>
      <c r="AC69" s="8">
        <f t="shared" si="40"/>
        <v>-17</v>
      </c>
      <c r="AD69" s="8">
        <f t="shared" si="41"/>
        <v>9.9399999999999942</v>
      </c>
    </row>
    <row r="70" spans="1:30" x14ac:dyDescent="0.35">
      <c r="A70" s="2">
        <v>70</v>
      </c>
      <c r="B70" s="2" t="s">
        <v>404</v>
      </c>
      <c r="C70" s="2" t="s">
        <v>417</v>
      </c>
      <c r="D70" s="3">
        <v>5.62</v>
      </c>
      <c r="E70" s="3">
        <v>0</v>
      </c>
      <c r="F70" s="3">
        <v>0</v>
      </c>
      <c r="G70" s="3">
        <v>1.2</v>
      </c>
      <c r="H70" s="15">
        <v>6.82</v>
      </c>
      <c r="I70" s="3">
        <v>62</v>
      </c>
      <c r="K70">
        <f t="shared" si="28"/>
        <v>12.779999999999998</v>
      </c>
      <c r="L70" s="7">
        <f t="shared" si="29"/>
        <v>0.20612903225806448</v>
      </c>
      <c r="N70">
        <f t="shared" si="30"/>
        <v>68</v>
      </c>
      <c r="P70" s="8">
        <f t="shared" si="31"/>
        <v>68</v>
      </c>
      <c r="R70">
        <f t="shared" si="32"/>
        <v>40</v>
      </c>
      <c r="S70">
        <f t="shared" si="33"/>
        <v>9.9799999999999969</v>
      </c>
      <c r="T70" s="7">
        <f t="shared" si="34"/>
        <v>0.24949999999999992</v>
      </c>
      <c r="V70" s="8">
        <f t="shared" si="35"/>
        <v>22</v>
      </c>
      <c r="W70" s="8">
        <f t="shared" si="36"/>
        <v>-2.8000000000000007</v>
      </c>
      <c r="Y70">
        <f t="shared" si="37"/>
        <v>57</v>
      </c>
      <c r="Z70">
        <f t="shared" si="38"/>
        <v>14.319999999999997</v>
      </c>
      <c r="AA70" s="7">
        <f t="shared" si="39"/>
        <v>0.25122807017543852</v>
      </c>
      <c r="AC70" s="8">
        <f t="shared" si="40"/>
        <v>5</v>
      </c>
      <c r="AD70" s="8">
        <f t="shared" si="41"/>
        <v>1.5399999999999991</v>
      </c>
    </row>
    <row r="71" spans="1:30" x14ac:dyDescent="0.35">
      <c r="A71" s="2">
        <v>71</v>
      </c>
      <c r="B71" s="2" t="s">
        <v>418</v>
      </c>
      <c r="C71" s="2" t="s">
        <v>419</v>
      </c>
      <c r="D71" s="3">
        <v>0.5</v>
      </c>
      <c r="E71" s="3">
        <v>0</v>
      </c>
      <c r="F71" s="3">
        <v>0</v>
      </c>
      <c r="G71" s="3">
        <v>1.2</v>
      </c>
      <c r="H71" s="15">
        <v>1.69</v>
      </c>
      <c r="I71" s="3">
        <v>13</v>
      </c>
      <c r="K71">
        <f t="shared" si="28"/>
        <v>6.0000000000000053E-2</v>
      </c>
      <c r="L71" s="7">
        <f t="shared" si="29"/>
        <v>4.6153846153846193E-3</v>
      </c>
      <c r="N71">
        <f t="shared" si="30"/>
        <v>45</v>
      </c>
      <c r="P71" s="8">
        <f t="shared" si="31"/>
        <v>45</v>
      </c>
      <c r="R71">
        <f t="shared" si="32"/>
        <v>19</v>
      </c>
      <c r="S71">
        <f t="shared" si="33"/>
        <v>4.8199999999999985</v>
      </c>
      <c r="T71" s="7">
        <f t="shared" si="34"/>
        <v>0.25368421052631573</v>
      </c>
      <c r="V71" s="8">
        <f t="shared" si="35"/>
        <v>-6</v>
      </c>
      <c r="W71" s="8">
        <f t="shared" si="36"/>
        <v>4.759999999999998</v>
      </c>
      <c r="Y71">
        <f t="shared" si="37"/>
        <v>26</v>
      </c>
      <c r="Z71">
        <f t="shared" si="38"/>
        <v>6.43</v>
      </c>
      <c r="AA71" s="7">
        <f t="shared" si="39"/>
        <v>0.24730769230769228</v>
      </c>
      <c r="AC71" s="8">
        <f t="shared" si="40"/>
        <v>-13</v>
      </c>
      <c r="AD71" s="8">
        <f t="shared" si="41"/>
        <v>6.3699999999999992</v>
      </c>
    </row>
    <row r="72" spans="1:30" x14ac:dyDescent="0.35">
      <c r="A72" s="2">
        <v>72</v>
      </c>
      <c r="B72" s="2" t="s">
        <v>418</v>
      </c>
      <c r="C72" s="2" t="s">
        <v>420</v>
      </c>
      <c r="D72" s="3">
        <v>1.64</v>
      </c>
      <c r="E72" s="3">
        <v>0</v>
      </c>
      <c r="F72" s="3">
        <v>0</v>
      </c>
      <c r="G72" s="3">
        <v>1.2</v>
      </c>
      <c r="H72" s="15">
        <v>2.84</v>
      </c>
      <c r="I72" s="3">
        <v>21</v>
      </c>
      <c r="K72">
        <f t="shared" si="28"/>
        <v>1.71</v>
      </c>
      <c r="L72" s="7">
        <f t="shared" si="29"/>
        <v>8.1428571428571433E-2</v>
      </c>
      <c r="N72">
        <f t="shared" si="30"/>
        <v>56</v>
      </c>
      <c r="P72" s="8">
        <f t="shared" si="31"/>
        <v>56</v>
      </c>
      <c r="R72">
        <f t="shared" si="32"/>
        <v>24</v>
      </c>
      <c r="S72">
        <f t="shared" si="33"/>
        <v>6.1199999999999974</v>
      </c>
      <c r="T72" s="7">
        <f t="shared" si="34"/>
        <v>0.25499999999999989</v>
      </c>
      <c r="V72" s="8">
        <f t="shared" si="35"/>
        <v>-3</v>
      </c>
      <c r="W72" s="8">
        <f t="shared" si="36"/>
        <v>4.4099999999999975</v>
      </c>
      <c r="Y72">
        <f t="shared" si="37"/>
        <v>33</v>
      </c>
      <c r="Z72">
        <f t="shared" si="38"/>
        <v>8.2200000000000006</v>
      </c>
      <c r="AA72" s="7">
        <f t="shared" si="39"/>
        <v>0.24909090909090911</v>
      </c>
      <c r="AC72" s="8">
        <f t="shared" si="40"/>
        <v>-12</v>
      </c>
      <c r="AD72" s="8">
        <f t="shared" si="41"/>
        <v>6.5100000000000007</v>
      </c>
    </row>
    <row r="73" spans="1:30" x14ac:dyDescent="0.35">
      <c r="A73" s="2">
        <v>73</v>
      </c>
      <c r="B73" s="2" t="s">
        <v>418</v>
      </c>
      <c r="C73" s="2" t="s">
        <v>421</v>
      </c>
      <c r="D73" s="3">
        <v>0.76</v>
      </c>
      <c r="E73" s="3">
        <v>0</v>
      </c>
      <c r="F73" s="3">
        <v>0</v>
      </c>
      <c r="G73" s="3">
        <v>1.2</v>
      </c>
      <c r="H73" s="15">
        <v>1.95</v>
      </c>
      <c r="I73" s="3">
        <v>18</v>
      </c>
      <c r="K73">
        <f t="shared" si="28"/>
        <v>1.55</v>
      </c>
      <c r="L73" s="7">
        <f t="shared" si="29"/>
        <v>8.611111111111111E-2</v>
      </c>
      <c r="N73">
        <f t="shared" si="30"/>
        <v>48</v>
      </c>
      <c r="P73" s="8">
        <f t="shared" si="31"/>
        <v>48</v>
      </c>
      <c r="R73">
        <f t="shared" si="32"/>
        <v>20</v>
      </c>
      <c r="S73">
        <f t="shared" si="33"/>
        <v>5.05</v>
      </c>
      <c r="T73" s="7">
        <f t="shared" si="34"/>
        <v>0.2525</v>
      </c>
      <c r="V73" s="8">
        <f t="shared" si="35"/>
        <v>-2</v>
      </c>
      <c r="W73" s="8">
        <f t="shared" si="36"/>
        <v>3.5</v>
      </c>
      <c r="Y73">
        <f t="shared" si="37"/>
        <v>28</v>
      </c>
      <c r="Z73">
        <f t="shared" si="38"/>
        <v>7.0099999999999989</v>
      </c>
      <c r="AA73" s="7">
        <f t="shared" si="39"/>
        <v>0.25035714285714283</v>
      </c>
      <c r="AC73" s="8">
        <f t="shared" si="40"/>
        <v>-10</v>
      </c>
      <c r="AD73" s="8">
        <f t="shared" si="41"/>
        <v>5.4599999999999991</v>
      </c>
    </row>
    <row r="74" spans="1:30" x14ac:dyDescent="0.35">
      <c r="A74" s="2">
        <v>74</v>
      </c>
      <c r="B74" s="2" t="s">
        <v>418</v>
      </c>
      <c r="C74" s="2" t="s">
        <v>422</v>
      </c>
      <c r="D74" s="3">
        <v>2.16</v>
      </c>
      <c r="E74" s="3">
        <v>0</v>
      </c>
      <c r="F74" s="3">
        <v>0</v>
      </c>
      <c r="G74" s="3">
        <v>1.2</v>
      </c>
      <c r="H74" s="15">
        <v>3.36</v>
      </c>
      <c r="I74" s="3">
        <v>25</v>
      </c>
      <c r="K74">
        <f t="shared" si="28"/>
        <v>2.5899999999999994</v>
      </c>
      <c r="L74" s="7">
        <f t="shared" si="29"/>
        <v>0.10359999999999997</v>
      </c>
      <c r="N74">
        <f t="shared" si="30"/>
        <v>60</v>
      </c>
      <c r="P74" s="8">
        <f t="shared" si="31"/>
        <v>60</v>
      </c>
      <c r="R74">
        <f t="shared" si="32"/>
        <v>26</v>
      </c>
      <c r="S74">
        <f t="shared" si="33"/>
        <v>6.58</v>
      </c>
      <c r="T74" s="7">
        <f t="shared" si="34"/>
        <v>0.25307692307692309</v>
      </c>
      <c r="V74" s="8">
        <f t="shared" si="35"/>
        <v>-1</v>
      </c>
      <c r="W74" s="8">
        <f t="shared" si="36"/>
        <v>3.9900000000000007</v>
      </c>
      <c r="Y74">
        <f t="shared" si="37"/>
        <v>36</v>
      </c>
      <c r="Z74">
        <f t="shared" si="38"/>
        <v>8.9599999999999991</v>
      </c>
      <c r="AA74" s="7">
        <f t="shared" si="39"/>
        <v>0.24888888888888885</v>
      </c>
      <c r="AC74" s="8">
        <f t="shared" si="40"/>
        <v>-11</v>
      </c>
      <c r="AD74" s="8">
        <f t="shared" si="41"/>
        <v>6.3699999999999992</v>
      </c>
    </row>
    <row r="75" spans="1:30" x14ac:dyDescent="0.35">
      <c r="A75" s="2">
        <v>75</v>
      </c>
      <c r="B75" s="2" t="s">
        <v>418</v>
      </c>
      <c r="C75" s="2" t="s">
        <v>423</v>
      </c>
      <c r="D75" s="3">
        <v>2.25</v>
      </c>
      <c r="E75" s="3">
        <v>0</v>
      </c>
      <c r="F75" s="3">
        <v>0</v>
      </c>
      <c r="G75" s="3">
        <v>1.2</v>
      </c>
      <c r="H75" s="15">
        <v>3.44</v>
      </c>
      <c r="I75" s="3">
        <v>25</v>
      </c>
      <c r="K75">
        <f t="shared" si="28"/>
        <v>2.5099999999999993</v>
      </c>
      <c r="L75" s="7">
        <f t="shared" si="29"/>
        <v>0.10039999999999998</v>
      </c>
      <c r="N75">
        <f t="shared" si="30"/>
        <v>61</v>
      </c>
      <c r="P75" s="8">
        <f t="shared" si="31"/>
        <v>61</v>
      </c>
      <c r="R75">
        <f t="shared" si="32"/>
        <v>26</v>
      </c>
      <c r="S75">
        <f t="shared" si="33"/>
        <v>6.5</v>
      </c>
      <c r="T75" s="7">
        <f t="shared" si="34"/>
        <v>0.25</v>
      </c>
      <c r="V75" s="8">
        <f t="shared" si="35"/>
        <v>-1</v>
      </c>
      <c r="W75" s="8">
        <f t="shared" si="36"/>
        <v>3.9900000000000007</v>
      </c>
      <c r="Y75">
        <f t="shared" si="37"/>
        <v>37</v>
      </c>
      <c r="Z75">
        <f t="shared" si="38"/>
        <v>9.2999999999999989</v>
      </c>
      <c r="AA75" s="7">
        <f t="shared" si="39"/>
        <v>0.25135135135135134</v>
      </c>
      <c r="AC75" s="8">
        <f t="shared" si="40"/>
        <v>-12</v>
      </c>
      <c r="AD75" s="8">
        <f t="shared" si="41"/>
        <v>6.7899999999999991</v>
      </c>
    </row>
    <row r="76" spans="1:30" x14ac:dyDescent="0.35">
      <c r="A76" s="2">
        <v>76</v>
      </c>
      <c r="B76" s="2" t="s">
        <v>424</v>
      </c>
      <c r="C76" s="2" t="s">
        <v>425</v>
      </c>
      <c r="D76" s="3">
        <v>0.23</v>
      </c>
      <c r="E76" s="3">
        <v>0</v>
      </c>
      <c r="F76" s="3">
        <v>0</v>
      </c>
      <c r="G76" s="3">
        <v>0.03</v>
      </c>
      <c r="H76" s="15">
        <v>0.26</v>
      </c>
      <c r="I76" s="3">
        <v>9</v>
      </c>
      <c r="K76">
        <f t="shared" si="28"/>
        <v>8.9999999999999969E-2</v>
      </c>
      <c r="L76" s="7">
        <f t="shared" si="29"/>
        <v>9.9999999999999967E-3</v>
      </c>
      <c r="N76">
        <f t="shared" si="30"/>
        <v>31</v>
      </c>
      <c r="P76" s="8">
        <f t="shared" si="31"/>
        <v>31</v>
      </c>
      <c r="R76">
        <f t="shared" si="32"/>
        <v>13</v>
      </c>
      <c r="S76">
        <f t="shared" si="33"/>
        <v>3.3099999999999996</v>
      </c>
      <c r="T76" s="7">
        <f t="shared" si="34"/>
        <v>0.25461538461538458</v>
      </c>
      <c r="V76" s="8">
        <f t="shared" si="35"/>
        <v>-4</v>
      </c>
      <c r="W76" s="8">
        <f t="shared" si="36"/>
        <v>3.2199999999999998</v>
      </c>
      <c r="Y76">
        <f t="shared" si="37"/>
        <v>18</v>
      </c>
      <c r="Z76">
        <f t="shared" si="38"/>
        <v>4.4999999999999991</v>
      </c>
      <c r="AA76" s="7">
        <f t="shared" si="39"/>
        <v>0.24999999999999994</v>
      </c>
      <c r="AC76" s="8">
        <f t="shared" si="40"/>
        <v>-9</v>
      </c>
      <c r="AD76" s="8">
        <f t="shared" si="41"/>
        <v>4.4099999999999993</v>
      </c>
    </row>
    <row r="77" spans="1:30" x14ac:dyDescent="0.35">
      <c r="A77" s="2">
        <v>77</v>
      </c>
      <c r="B77" s="2" t="s">
        <v>424</v>
      </c>
      <c r="C77" s="2" t="s">
        <v>426</v>
      </c>
      <c r="D77" s="3">
        <v>0.75</v>
      </c>
      <c r="E77" s="3">
        <v>0</v>
      </c>
      <c r="F77" s="3">
        <v>0</v>
      </c>
      <c r="G77" s="3">
        <v>0.03</v>
      </c>
      <c r="H77" s="15">
        <v>0.78</v>
      </c>
      <c r="I77" s="3">
        <v>11</v>
      </c>
      <c r="K77">
        <f t="shared" si="28"/>
        <v>0.2699999999999998</v>
      </c>
      <c r="L77" s="7">
        <f t="shared" si="29"/>
        <v>2.4545454545454527E-2</v>
      </c>
      <c r="N77">
        <f t="shared" si="30"/>
        <v>36</v>
      </c>
      <c r="P77" s="8">
        <f t="shared" si="31"/>
        <v>36</v>
      </c>
      <c r="R77">
        <f t="shared" si="32"/>
        <v>15</v>
      </c>
      <c r="S77">
        <f t="shared" si="33"/>
        <v>3.7699999999999996</v>
      </c>
      <c r="T77" s="7">
        <f t="shared" si="34"/>
        <v>0.2513333333333333</v>
      </c>
      <c r="V77" s="8">
        <f t="shared" si="35"/>
        <v>-4</v>
      </c>
      <c r="W77" s="8">
        <f t="shared" si="36"/>
        <v>3.5</v>
      </c>
      <c r="Y77">
        <f t="shared" si="37"/>
        <v>21</v>
      </c>
      <c r="Z77">
        <f t="shared" si="38"/>
        <v>5.2399999999999993</v>
      </c>
      <c r="AA77" s="7">
        <f t="shared" si="39"/>
        <v>0.24952380952380948</v>
      </c>
      <c r="AC77" s="8">
        <f t="shared" si="40"/>
        <v>-10</v>
      </c>
      <c r="AD77" s="8">
        <f t="shared" si="41"/>
        <v>4.97</v>
      </c>
    </row>
    <row r="78" spans="1:30" x14ac:dyDescent="0.35">
      <c r="A78" s="2">
        <v>78</v>
      </c>
      <c r="B78" s="2" t="s">
        <v>424</v>
      </c>
      <c r="C78" s="2" t="s">
        <v>427</v>
      </c>
      <c r="D78" s="3">
        <v>0.91</v>
      </c>
      <c r="E78" s="3">
        <v>0</v>
      </c>
      <c r="F78" s="3">
        <v>0</v>
      </c>
      <c r="G78" s="3">
        <v>0.03</v>
      </c>
      <c r="H78" s="15">
        <v>0.94</v>
      </c>
      <c r="I78" s="3">
        <v>13</v>
      </c>
      <c r="K78">
        <f t="shared" si="28"/>
        <v>0.81</v>
      </c>
      <c r="L78" s="7">
        <f t="shared" si="29"/>
        <v>6.2307692307692314E-2</v>
      </c>
      <c r="N78">
        <f t="shared" si="30"/>
        <v>37</v>
      </c>
      <c r="P78" s="8">
        <f t="shared" si="31"/>
        <v>37</v>
      </c>
      <c r="R78">
        <f t="shared" si="32"/>
        <v>16</v>
      </c>
      <c r="S78">
        <f t="shared" si="33"/>
        <v>4.0999999999999996</v>
      </c>
      <c r="T78" s="7">
        <f t="shared" si="34"/>
        <v>0.25624999999999998</v>
      </c>
      <c r="V78" s="8">
        <f t="shared" si="35"/>
        <v>-3</v>
      </c>
      <c r="W78" s="8">
        <f t="shared" si="36"/>
        <v>3.2899999999999996</v>
      </c>
      <c r="Y78">
        <f t="shared" si="37"/>
        <v>22</v>
      </c>
      <c r="Z78">
        <f t="shared" si="38"/>
        <v>5.5</v>
      </c>
      <c r="AA78" s="7">
        <f t="shared" si="39"/>
        <v>0.25</v>
      </c>
      <c r="AC78" s="8">
        <f t="shared" si="40"/>
        <v>-9</v>
      </c>
      <c r="AD78" s="8">
        <f t="shared" si="41"/>
        <v>4.6899999999999995</v>
      </c>
    </row>
    <row r="79" spans="1:30" x14ac:dyDescent="0.35">
      <c r="A79" s="2">
        <v>79</v>
      </c>
      <c r="B79" s="2" t="s">
        <v>424</v>
      </c>
      <c r="C79" s="2" t="s">
        <v>428</v>
      </c>
      <c r="D79" s="3">
        <v>0.34</v>
      </c>
      <c r="E79" s="3">
        <v>0</v>
      </c>
      <c r="F79" s="3">
        <v>0</v>
      </c>
      <c r="G79" s="3">
        <v>0.03</v>
      </c>
      <c r="H79" s="15">
        <v>0.37</v>
      </c>
      <c r="I79" s="3">
        <v>9</v>
      </c>
      <c r="K79">
        <f t="shared" si="28"/>
        <v>-2.0000000000000018E-2</v>
      </c>
      <c r="L79" s="7">
        <f t="shared" si="29"/>
        <v>-2.2222222222222244E-3</v>
      </c>
      <c r="N79">
        <f t="shared" si="30"/>
        <v>32</v>
      </c>
      <c r="P79" s="8">
        <f t="shared" si="31"/>
        <v>32</v>
      </c>
      <c r="R79">
        <f t="shared" si="32"/>
        <v>13</v>
      </c>
      <c r="S79">
        <f t="shared" si="33"/>
        <v>3.1999999999999993</v>
      </c>
      <c r="T79" s="7">
        <f t="shared" si="34"/>
        <v>0.24615384615384611</v>
      </c>
      <c r="V79" s="8">
        <f t="shared" si="35"/>
        <v>-4</v>
      </c>
      <c r="W79" s="8">
        <f t="shared" si="36"/>
        <v>3.2199999999999993</v>
      </c>
      <c r="Y79">
        <f t="shared" si="37"/>
        <v>19</v>
      </c>
      <c r="Z79">
        <f t="shared" si="38"/>
        <v>4.8099999999999996</v>
      </c>
      <c r="AA79" s="7">
        <f t="shared" si="39"/>
        <v>0.25315789473684208</v>
      </c>
      <c r="AC79" s="8">
        <f t="shared" si="40"/>
        <v>-10</v>
      </c>
      <c r="AD79" s="8">
        <f t="shared" si="41"/>
        <v>4.83</v>
      </c>
    </row>
    <row r="80" spans="1:30" x14ac:dyDescent="0.35">
      <c r="A80" s="2">
        <v>80</v>
      </c>
      <c r="B80" s="2" t="s">
        <v>424</v>
      </c>
      <c r="C80" s="2" t="s">
        <v>429</v>
      </c>
      <c r="D80" s="3">
        <v>1.03</v>
      </c>
      <c r="E80" s="3">
        <v>0</v>
      </c>
      <c r="F80" s="3">
        <v>0</v>
      </c>
      <c r="G80" s="3">
        <v>0.03</v>
      </c>
      <c r="H80" s="15">
        <v>1.06</v>
      </c>
      <c r="I80" s="3">
        <v>11</v>
      </c>
      <c r="K80">
        <f t="shared" si="28"/>
        <v>-1.0000000000000231E-2</v>
      </c>
      <c r="L80" s="7">
        <f t="shared" si="29"/>
        <v>-9.0909090909093012E-4</v>
      </c>
      <c r="N80">
        <f t="shared" si="30"/>
        <v>39</v>
      </c>
      <c r="P80" s="8">
        <f t="shared" si="31"/>
        <v>39</v>
      </c>
      <c r="R80">
        <f t="shared" si="32"/>
        <v>16</v>
      </c>
      <c r="S80">
        <f t="shared" si="33"/>
        <v>3.9799999999999991</v>
      </c>
      <c r="T80" s="7">
        <f t="shared" si="34"/>
        <v>0.24874999999999994</v>
      </c>
      <c r="V80" s="8">
        <f t="shared" si="35"/>
        <v>-5</v>
      </c>
      <c r="W80" s="8">
        <f t="shared" si="36"/>
        <v>3.9899999999999993</v>
      </c>
      <c r="Y80">
        <f t="shared" si="37"/>
        <v>23</v>
      </c>
      <c r="Z80">
        <f t="shared" si="38"/>
        <v>5.7999999999999989</v>
      </c>
      <c r="AA80" s="7">
        <f t="shared" si="39"/>
        <v>0.25217391304347819</v>
      </c>
      <c r="AC80" s="8">
        <f t="shared" si="40"/>
        <v>-12</v>
      </c>
      <c r="AD80" s="8">
        <f t="shared" si="41"/>
        <v>5.8099999999999987</v>
      </c>
    </row>
    <row r="81" spans="1:30" x14ac:dyDescent="0.35">
      <c r="A81" s="2">
        <v>81</v>
      </c>
      <c r="B81" s="2" t="s">
        <v>424</v>
      </c>
      <c r="C81" s="2" t="s">
        <v>430</v>
      </c>
      <c r="D81" s="3">
        <v>1.1499999999999999</v>
      </c>
      <c r="E81" s="3">
        <v>0</v>
      </c>
      <c r="F81" s="3">
        <v>0</v>
      </c>
      <c r="G81" s="3">
        <v>0.03</v>
      </c>
      <c r="H81" s="15">
        <v>1.18</v>
      </c>
      <c r="I81" s="3">
        <v>13</v>
      </c>
      <c r="K81">
        <f t="shared" si="28"/>
        <v>0.57000000000000006</v>
      </c>
      <c r="L81" s="7">
        <f t="shared" si="29"/>
        <v>4.3846153846153854E-2</v>
      </c>
      <c r="N81">
        <f t="shared" si="30"/>
        <v>40</v>
      </c>
      <c r="P81" s="8">
        <f t="shared" si="31"/>
        <v>40</v>
      </c>
      <c r="R81">
        <f t="shared" si="32"/>
        <v>17</v>
      </c>
      <c r="S81">
        <f t="shared" si="33"/>
        <v>4.3499999999999988</v>
      </c>
      <c r="T81" s="7">
        <f t="shared" si="34"/>
        <v>0.25588235294117639</v>
      </c>
      <c r="V81" s="8">
        <f t="shared" si="35"/>
        <v>-4</v>
      </c>
      <c r="W81" s="8">
        <f t="shared" si="36"/>
        <v>3.7799999999999985</v>
      </c>
      <c r="Y81">
        <f t="shared" si="37"/>
        <v>23</v>
      </c>
      <c r="Z81">
        <f t="shared" si="38"/>
        <v>5.6799999999999988</v>
      </c>
      <c r="AA81" s="7">
        <f t="shared" si="39"/>
        <v>0.24695652173913038</v>
      </c>
      <c r="AC81" s="8">
        <f t="shared" si="40"/>
        <v>-10</v>
      </c>
      <c r="AD81" s="8">
        <f t="shared" si="41"/>
        <v>5.1099999999999985</v>
      </c>
    </row>
    <row r="82" spans="1:30" x14ac:dyDescent="0.35">
      <c r="A82" s="2">
        <v>82</v>
      </c>
      <c r="B82" s="2" t="s">
        <v>424</v>
      </c>
      <c r="C82" s="2" t="s">
        <v>431</v>
      </c>
      <c r="D82" s="3">
        <v>1.01</v>
      </c>
      <c r="E82" s="3">
        <v>0</v>
      </c>
      <c r="F82" s="3">
        <v>0</v>
      </c>
      <c r="G82" s="3">
        <v>0.03</v>
      </c>
      <c r="H82" s="15">
        <v>1.03</v>
      </c>
      <c r="I82" s="3">
        <v>14</v>
      </c>
      <c r="K82">
        <f t="shared" si="28"/>
        <v>1.0699999999999996</v>
      </c>
      <c r="L82" s="7">
        <f t="shared" si="29"/>
        <v>7.6428571428571401E-2</v>
      </c>
      <c r="N82">
        <f t="shared" si="30"/>
        <v>38</v>
      </c>
      <c r="P82" s="8">
        <f t="shared" si="31"/>
        <v>38</v>
      </c>
      <c r="R82">
        <f t="shared" si="32"/>
        <v>16</v>
      </c>
      <c r="S82">
        <f t="shared" si="33"/>
        <v>4.0099999999999989</v>
      </c>
      <c r="T82" s="7">
        <f t="shared" si="34"/>
        <v>0.25062499999999993</v>
      </c>
      <c r="V82" s="8">
        <f t="shared" si="35"/>
        <v>-2</v>
      </c>
      <c r="W82" s="8">
        <f t="shared" si="36"/>
        <v>2.9399999999999995</v>
      </c>
      <c r="Y82">
        <f t="shared" si="37"/>
        <v>23</v>
      </c>
      <c r="Z82">
        <f t="shared" si="38"/>
        <v>5.8299999999999983</v>
      </c>
      <c r="AA82" s="7">
        <f t="shared" si="39"/>
        <v>0.25347826086956515</v>
      </c>
      <c r="AC82" s="8">
        <f t="shared" si="40"/>
        <v>-9</v>
      </c>
      <c r="AD82" s="8">
        <f t="shared" si="41"/>
        <v>4.7599999999999989</v>
      </c>
    </row>
    <row r="83" spans="1:30" x14ac:dyDescent="0.35">
      <c r="A83" s="2">
        <v>83</v>
      </c>
      <c r="B83" s="2" t="s">
        <v>424</v>
      </c>
      <c r="C83" s="2" t="s">
        <v>432</v>
      </c>
      <c r="D83" s="3">
        <v>1.59</v>
      </c>
      <c r="E83" s="3">
        <v>0</v>
      </c>
      <c r="F83" s="3">
        <v>0.25</v>
      </c>
      <c r="G83" s="3">
        <v>0.45</v>
      </c>
      <c r="H83" s="15">
        <v>2.2400000000000002</v>
      </c>
      <c r="I83" s="3">
        <v>19</v>
      </c>
      <c r="K83">
        <f t="shared" si="28"/>
        <v>1.6099999999999994</v>
      </c>
      <c r="L83" s="7">
        <f t="shared" si="29"/>
        <v>8.4736842105263124E-2</v>
      </c>
      <c r="N83">
        <f t="shared" si="30"/>
        <v>50</v>
      </c>
      <c r="P83" s="8">
        <f t="shared" si="31"/>
        <v>50</v>
      </c>
      <c r="R83">
        <f t="shared" si="32"/>
        <v>21</v>
      </c>
      <c r="S83">
        <f t="shared" si="33"/>
        <v>5.2499999999999991</v>
      </c>
      <c r="T83" s="7">
        <f t="shared" si="34"/>
        <v>0.24999999999999994</v>
      </c>
      <c r="V83" s="8">
        <f t="shared" si="35"/>
        <v>-2</v>
      </c>
      <c r="W83" s="8">
        <f t="shared" si="36"/>
        <v>3.6399999999999997</v>
      </c>
      <c r="Y83">
        <f t="shared" si="37"/>
        <v>30</v>
      </c>
      <c r="Z83">
        <f t="shared" si="38"/>
        <v>7.5599999999999987</v>
      </c>
      <c r="AA83" s="7">
        <f t="shared" si="39"/>
        <v>0.25199999999999995</v>
      </c>
      <c r="AC83" s="8">
        <f t="shared" si="40"/>
        <v>-11</v>
      </c>
      <c r="AD83" s="8">
        <f t="shared" si="41"/>
        <v>5.9499999999999993</v>
      </c>
    </row>
    <row r="84" spans="1:30" x14ac:dyDescent="0.35">
      <c r="A84" s="2">
        <v>84</v>
      </c>
      <c r="B84" s="2" t="s">
        <v>424</v>
      </c>
      <c r="C84" s="2" t="s">
        <v>433</v>
      </c>
      <c r="D84" s="3">
        <v>1.26</v>
      </c>
      <c r="E84" s="3">
        <v>0</v>
      </c>
      <c r="F84" s="3">
        <v>0.25</v>
      </c>
      <c r="G84" s="3">
        <v>0.45</v>
      </c>
      <c r="H84" s="15">
        <v>1.95</v>
      </c>
      <c r="I84" s="2"/>
      <c r="K84">
        <f t="shared" si="28"/>
        <v>-4.75</v>
      </c>
      <c r="L84" s="7" t="e">
        <f t="shared" si="29"/>
        <v>#DIV/0!</v>
      </c>
      <c r="N84">
        <f t="shared" si="30"/>
        <v>48</v>
      </c>
      <c r="P84" s="8">
        <f t="shared" si="31"/>
        <v>48</v>
      </c>
      <c r="R84">
        <f t="shared" si="32"/>
        <v>20</v>
      </c>
      <c r="S84">
        <f t="shared" si="33"/>
        <v>5.05</v>
      </c>
      <c r="T84" s="7">
        <f t="shared" si="34"/>
        <v>0.2525</v>
      </c>
      <c r="V84" s="8">
        <f t="shared" si="35"/>
        <v>-20</v>
      </c>
      <c r="W84" s="8">
        <f t="shared" si="36"/>
        <v>9.8000000000000007</v>
      </c>
      <c r="Y84">
        <f t="shared" si="37"/>
        <v>28</v>
      </c>
      <c r="Z84">
        <f t="shared" si="38"/>
        <v>7.0099999999999989</v>
      </c>
      <c r="AA84" s="7">
        <f t="shared" si="39"/>
        <v>0.25035714285714283</v>
      </c>
      <c r="AC84" s="8">
        <f t="shared" si="40"/>
        <v>-28</v>
      </c>
      <c r="AD84" s="8">
        <f t="shared" si="41"/>
        <v>11.759999999999998</v>
      </c>
    </row>
    <row r="85" spans="1:30" x14ac:dyDescent="0.35">
      <c r="A85" s="2">
        <v>85</v>
      </c>
      <c r="B85" s="2" t="s">
        <v>424</v>
      </c>
      <c r="C85" s="2" t="s">
        <v>434</v>
      </c>
      <c r="D85" s="3">
        <v>1.53</v>
      </c>
      <c r="E85" s="3">
        <v>0</v>
      </c>
      <c r="F85" s="3">
        <v>0.25</v>
      </c>
      <c r="G85" s="3">
        <v>0.45</v>
      </c>
      <c r="H85" s="15">
        <v>2.23</v>
      </c>
      <c r="I85" s="2"/>
      <c r="K85">
        <f t="shared" si="28"/>
        <v>-5.0299999999999994</v>
      </c>
      <c r="L85" s="7" t="e">
        <f t="shared" si="29"/>
        <v>#DIV/0!</v>
      </c>
      <c r="N85">
        <f t="shared" si="30"/>
        <v>50</v>
      </c>
      <c r="P85" s="8">
        <f t="shared" si="31"/>
        <v>50</v>
      </c>
      <c r="R85">
        <f t="shared" si="32"/>
        <v>21</v>
      </c>
      <c r="S85">
        <f t="shared" si="33"/>
        <v>5.26</v>
      </c>
      <c r="T85" s="7">
        <f t="shared" si="34"/>
        <v>0.25047619047619046</v>
      </c>
      <c r="V85" s="8">
        <f t="shared" si="35"/>
        <v>-21</v>
      </c>
      <c r="W85" s="8">
        <f t="shared" si="36"/>
        <v>10.29</v>
      </c>
      <c r="Y85">
        <f t="shared" si="37"/>
        <v>30</v>
      </c>
      <c r="Z85">
        <f t="shared" si="38"/>
        <v>7.5699999999999985</v>
      </c>
      <c r="AA85" s="7">
        <f t="shared" si="39"/>
        <v>0.2523333333333333</v>
      </c>
      <c r="AC85" s="8">
        <f t="shared" si="40"/>
        <v>-30</v>
      </c>
      <c r="AD85" s="8">
        <f t="shared" si="41"/>
        <v>12.599999999999998</v>
      </c>
    </row>
    <row r="86" spans="1:30" x14ac:dyDescent="0.35">
      <c r="A86" s="2">
        <v>86</v>
      </c>
      <c r="B86" s="2" t="s">
        <v>424</v>
      </c>
      <c r="C86" s="2" t="s">
        <v>435</v>
      </c>
      <c r="D86" s="3">
        <v>1.26</v>
      </c>
      <c r="E86" s="3">
        <v>0</v>
      </c>
      <c r="F86" s="3">
        <v>0.25</v>
      </c>
      <c r="G86" s="3">
        <v>0.45</v>
      </c>
      <c r="H86" s="15">
        <v>1.96</v>
      </c>
      <c r="I86" s="2"/>
      <c r="K86">
        <f t="shared" si="28"/>
        <v>-4.76</v>
      </c>
      <c r="L86" s="7" t="e">
        <f t="shared" si="29"/>
        <v>#DIV/0!</v>
      </c>
      <c r="N86">
        <f t="shared" si="30"/>
        <v>48</v>
      </c>
      <c r="P86" s="8">
        <f t="shared" si="31"/>
        <v>48</v>
      </c>
      <c r="R86">
        <f t="shared" si="32"/>
        <v>20</v>
      </c>
      <c r="S86">
        <f t="shared" si="33"/>
        <v>5.04</v>
      </c>
      <c r="T86" s="7">
        <f t="shared" si="34"/>
        <v>0.252</v>
      </c>
      <c r="V86" s="8">
        <f t="shared" si="35"/>
        <v>-20</v>
      </c>
      <c r="W86" s="8">
        <f t="shared" si="36"/>
        <v>9.8000000000000007</v>
      </c>
      <c r="Y86">
        <f t="shared" si="37"/>
        <v>28</v>
      </c>
      <c r="Z86">
        <f t="shared" si="38"/>
        <v>6.9999999999999991</v>
      </c>
      <c r="AA86" s="7">
        <f t="shared" si="39"/>
        <v>0.24999999999999997</v>
      </c>
      <c r="AC86" s="8">
        <f t="shared" si="40"/>
        <v>-28</v>
      </c>
      <c r="AD86" s="8">
        <f t="shared" si="41"/>
        <v>11.759999999999998</v>
      </c>
    </row>
    <row r="87" spans="1:30" x14ac:dyDescent="0.35">
      <c r="A87" s="2">
        <v>87</v>
      </c>
      <c r="B87" s="2" t="s">
        <v>424</v>
      </c>
      <c r="C87" s="2" t="s">
        <v>436</v>
      </c>
      <c r="D87" s="3">
        <v>1.46</v>
      </c>
      <c r="E87" s="3">
        <v>0</v>
      </c>
      <c r="F87" s="3">
        <v>0.25</v>
      </c>
      <c r="G87" s="3">
        <v>0.45</v>
      </c>
      <c r="H87" s="15">
        <v>2.36</v>
      </c>
      <c r="I87" s="2"/>
      <c r="K87">
        <f t="shared" si="28"/>
        <v>-5.16</v>
      </c>
      <c r="L87" s="7" t="e">
        <f t="shared" si="29"/>
        <v>#DIV/0!</v>
      </c>
      <c r="N87">
        <f t="shared" si="30"/>
        <v>52</v>
      </c>
      <c r="P87" s="8">
        <f t="shared" si="31"/>
        <v>52</v>
      </c>
      <c r="R87">
        <f t="shared" si="32"/>
        <v>22</v>
      </c>
      <c r="S87">
        <f t="shared" si="33"/>
        <v>5.6199999999999992</v>
      </c>
      <c r="T87" s="7">
        <f t="shared" si="34"/>
        <v>0.25545454545454543</v>
      </c>
      <c r="V87" s="8">
        <f t="shared" si="35"/>
        <v>-22</v>
      </c>
      <c r="W87" s="8">
        <f t="shared" si="36"/>
        <v>10.78</v>
      </c>
      <c r="Y87">
        <f t="shared" si="37"/>
        <v>30</v>
      </c>
      <c r="Z87">
        <f t="shared" si="38"/>
        <v>7.4399999999999995</v>
      </c>
      <c r="AA87" s="7">
        <f t="shared" si="39"/>
        <v>0.24799999999999997</v>
      </c>
      <c r="AC87" s="8">
        <f t="shared" si="40"/>
        <v>-30</v>
      </c>
      <c r="AD87" s="8">
        <f t="shared" si="41"/>
        <v>12.6</v>
      </c>
    </row>
    <row r="88" spans="1:30" x14ac:dyDescent="0.35">
      <c r="A88" s="2">
        <v>88</v>
      </c>
      <c r="B88" s="2" t="s">
        <v>424</v>
      </c>
      <c r="C88" s="2" t="s">
        <v>437</v>
      </c>
      <c r="D88" s="3">
        <v>1.08</v>
      </c>
      <c r="E88" s="3">
        <v>0</v>
      </c>
      <c r="F88" s="3">
        <v>0.25</v>
      </c>
      <c r="G88" s="3">
        <v>0.45</v>
      </c>
      <c r="H88" s="15">
        <v>2.08</v>
      </c>
      <c r="I88" s="2"/>
      <c r="K88">
        <f t="shared" si="28"/>
        <v>-4.88</v>
      </c>
      <c r="L88" s="7" t="e">
        <f t="shared" si="29"/>
        <v>#DIV/0!</v>
      </c>
      <c r="N88">
        <f t="shared" si="30"/>
        <v>49</v>
      </c>
      <c r="P88" s="8">
        <f t="shared" si="31"/>
        <v>49</v>
      </c>
      <c r="R88">
        <f t="shared" si="32"/>
        <v>20</v>
      </c>
      <c r="S88">
        <f t="shared" si="33"/>
        <v>4.92</v>
      </c>
      <c r="T88" s="7">
        <f t="shared" si="34"/>
        <v>0.246</v>
      </c>
      <c r="V88" s="8">
        <f t="shared" si="35"/>
        <v>-20</v>
      </c>
      <c r="W88" s="8">
        <f t="shared" si="36"/>
        <v>9.8000000000000007</v>
      </c>
      <c r="Y88">
        <f t="shared" si="37"/>
        <v>29</v>
      </c>
      <c r="Z88">
        <f t="shared" si="38"/>
        <v>7.2999999999999989</v>
      </c>
      <c r="AA88" s="7">
        <f t="shared" si="39"/>
        <v>0.25172413793103443</v>
      </c>
      <c r="AC88" s="8">
        <f t="shared" si="40"/>
        <v>-29</v>
      </c>
      <c r="AD88" s="8">
        <f t="shared" si="41"/>
        <v>12.18</v>
      </c>
    </row>
    <row r="89" spans="1:30" x14ac:dyDescent="0.35">
      <c r="A89" s="2">
        <v>89</v>
      </c>
      <c r="B89" s="2" t="s">
        <v>424</v>
      </c>
      <c r="C89" s="2" t="s">
        <v>438</v>
      </c>
      <c r="D89" s="3">
        <v>1.34</v>
      </c>
      <c r="E89" s="3">
        <v>0</v>
      </c>
      <c r="F89" s="3">
        <v>0.25</v>
      </c>
      <c r="G89" s="3">
        <v>0.45</v>
      </c>
      <c r="H89" s="15">
        <v>2.04</v>
      </c>
      <c r="I89" s="2"/>
      <c r="K89">
        <f t="shared" si="28"/>
        <v>-4.84</v>
      </c>
      <c r="L89" s="7" t="e">
        <f t="shared" si="29"/>
        <v>#DIV/0!</v>
      </c>
      <c r="N89">
        <f t="shared" si="30"/>
        <v>48</v>
      </c>
      <c r="P89" s="8">
        <f t="shared" si="31"/>
        <v>48</v>
      </c>
      <c r="R89">
        <f t="shared" si="32"/>
        <v>20</v>
      </c>
      <c r="S89">
        <f t="shared" si="33"/>
        <v>4.96</v>
      </c>
      <c r="T89" s="7">
        <f t="shared" si="34"/>
        <v>0.248</v>
      </c>
      <c r="V89" s="8">
        <f t="shared" si="35"/>
        <v>-20</v>
      </c>
      <c r="W89" s="8">
        <f t="shared" si="36"/>
        <v>9.8000000000000007</v>
      </c>
      <c r="Y89">
        <f t="shared" si="37"/>
        <v>28</v>
      </c>
      <c r="Z89">
        <f t="shared" si="38"/>
        <v>6.919999999999999</v>
      </c>
      <c r="AA89" s="7">
        <f t="shared" si="39"/>
        <v>0.24714285714285711</v>
      </c>
      <c r="AC89" s="8">
        <f t="shared" si="40"/>
        <v>-28</v>
      </c>
      <c r="AD89" s="8">
        <f t="shared" si="41"/>
        <v>11.759999999999998</v>
      </c>
    </row>
    <row r="90" spans="1:30" x14ac:dyDescent="0.35">
      <c r="A90" s="2">
        <v>90</v>
      </c>
      <c r="B90" s="2" t="s">
        <v>439</v>
      </c>
      <c r="C90" s="2" t="s">
        <v>440</v>
      </c>
      <c r="D90" s="3">
        <v>0.64</v>
      </c>
      <c r="E90" s="3">
        <v>0</v>
      </c>
      <c r="F90" s="3">
        <v>0</v>
      </c>
      <c r="G90" s="3">
        <v>0.39</v>
      </c>
      <c r="H90" s="15">
        <v>1.03</v>
      </c>
      <c r="I90" s="3">
        <v>10</v>
      </c>
      <c r="K90">
        <f t="shared" si="28"/>
        <v>-0.33000000000000007</v>
      </c>
      <c r="L90" s="7">
        <f t="shared" si="29"/>
        <v>-3.3000000000000008E-2</v>
      </c>
      <c r="N90">
        <f t="shared" si="30"/>
        <v>38</v>
      </c>
      <c r="P90" s="8">
        <f t="shared" si="31"/>
        <v>38</v>
      </c>
      <c r="R90">
        <f t="shared" si="32"/>
        <v>16</v>
      </c>
      <c r="S90">
        <f t="shared" si="33"/>
        <v>4.0099999999999989</v>
      </c>
      <c r="T90" s="7">
        <f t="shared" si="34"/>
        <v>0.25062499999999993</v>
      </c>
      <c r="V90" s="8">
        <f t="shared" si="35"/>
        <v>-6</v>
      </c>
      <c r="W90" s="8">
        <f t="shared" si="36"/>
        <v>4.339999999999999</v>
      </c>
      <c r="Y90">
        <f t="shared" si="37"/>
        <v>23</v>
      </c>
      <c r="Z90">
        <f t="shared" si="38"/>
        <v>5.8299999999999983</v>
      </c>
      <c r="AA90" s="7">
        <f t="shared" si="39"/>
        <v>0.25347826086956515</v>
      </c>
      <c r="AC90" s="8">
        <f t="shared" si="40"/>
        <v>-13</v>
      </c>
      <c r="AD90" s="8">
        <f t="shared" si="41"/>
        <v>6.1599999999999984</v>
      </c>
    </row>
    <row r="91" spans="1:30" x14ac:dyDescent="0.35">
      <c r="A91" s="2">
        <v>91</v>
      </c>
      <c r="B91" s="2" t="s">
        <v>439</v>
      </c>
      <c r="C91" s="2" t="s">
        <v>441</v>
      </c>
      <c r="D91" s="3">
        <v>1.22</v>
      </c>
      <c r="E91" s="3">
        <v>0</v>
      </c>
      <c r="F91" s="3">
        <v>0</v>
      </c>
      <c r="G91" s="3">
        <v>0.39</v>
      </c>
      <c r="H91" s="15">
        <v>1.61</v>
      </c>
      <c r="I91" s="3">
        <v>13</v>
      </c>
      <c r="K91">
        <f t="shared" si="28"/>
        <v>0.1399999999999999</v>
      </c>
      <c r="L91" s="7">
        <f t="shared" si="29"/>
        <v>1.0769230769230762E-2</v>
      </c>
      <c r="N91">
        <f t="shared" si="30"/>
        <v>44</v>
      </c>
      <c r="P91" s="8">
        <f t="shared" si="31"/>
        <v>44</v>
      </c>
      <c r="R91">
        <f t="shared" si="32"/>
        <v>18</v>
      </c>
      <c r="S91">
        <f t="shared" si="33"/>
        <v>4.4099999999999993</v>
      </c>
      <c r="T91" s="7">
        <f t="shared" si="34"/>
        <v>0.24499999999999997</v>
      </c>
      <c r="V91" s="8">
        <f t="shared" si="35"/>
        <v>-5</v>
      </c>
      <c r="W91" s="8">
        <f t="shared" si="36"/>
        <v>4.2699999999999996</v>
      </c>
      <c r="Y91">
        <f t="shared" si="37"/>
        <v>26</v>
      </c>
      <c r="Z91">
        <f t="shared" si="38"/>
        <v>6.5099999999999989</v>
      </c>
      <c r="AA91" s="7">
        <f t="shared" si="39"/>
        <v>0.25038461538461532</v>
      </c>
      <c r="AC91" s="8">
        <f t="shared" si="40"/>
        <v>-13</v>
      </c>
      <c r="AD91" s="8">
        <f t="shared" si="41"/>
        <v>6.3699999999999992</v>
      </c>
    </row>
    <row r="92" spans="1:30" x14ac:dyDescent="0.35">
      <c r="A92" s="2">
        <v>92</v>
      </c>
      <c r="B92" s="2" t="s">
        <v>439</v>
      </c>
      <c r="C92" s="2" t="s">
        <v>442</v>
      </c>
      <c r="D92" s="3">
        <v>0.84</v>
      </c>
      <c r="E92" s="3">
        <v>0</v>
      </c>
      <c r="F92" s="3">
        <v>0</v>
      </c>
      <c r="G92" s="3">
        <v>0.39</v>
      </c>
      <c r="H92" s="15">
        <v>1.23</v>
      </c>
      <c r="I92" s="3">
        <v>12</v>
      </c>
      <c r="K92">
        <f t="shared" si="28"/>
        <v>0.16999999999999993</v>
      </c>
      <c r="L92" s="7">
        <f t="shared" si="29"/>
        <v>1.4166666666666661E-2</v>
      </c>
      <c r="N92">
        <f t="shared" si="30"/>
        <v>40</v>
      </c>
      <c r="P92" s="8">
        <f t="shared" si="31"/>
        <v>40</v>
      </c>
      <c r="R92">
        <f t="shared" si="32"/>
        <v>17</v>
      </c>
      <c r="S92">
        <f t="shared" si="33"/>
        <v>4.2999999999999989</v>
      </c>
      <c r="T92" s="7">
        <f t="shared" si="34"/>
        <v>0.25294117647058817</v>
      </c>
      <c r="V92" s="8">
        <f t="shared" si="35"/>
        <v>-5</v>
      </c>
      <c r="W92" s="8">
        <f t="shared" si="36"/>
        <v>4.129999999999999</v>
      </c>
      <c r="Y92">
        <f t="shared" si="37"/>
        <v>24</v>
      </c>
      <c r="Z92">
        <f t="shared" si="38"/>
        <v>6.0499999999999989</v>
      </c>
      <c r="AA92" s="7">
        <f t="shared" si="39"/>
        <v>0.25208333333333327</v>
      </c>
      <c r="AC92" s="8">
        <f t="shared" si="40"/>
        <v>-12</v>
      </c>
      <c r="AD92" s="8">
        <f t="shared" si="41"/>
        <v>5.879999999999999</v>
      </c>
    </row>
    <row r="93" spans="1:30" x14ac:dyDescent="0.35">
      <c r="A93" s="2">
        <v>93</v>
      </c>
      <c r="B93" s="2" t="s">
        <v>439</v>
      </c>
      <c r="C93" s="2" t="s">
        <v>443</v>
      </c>
      <c r="D93" s="3">
        <v>1.04</v>
      </c>
      <c r="E93" s="3">
        <v>0</v>
      </c>
      <c r="F93" s="3">
        <v>0</v>
      </c>
      <c r="G93" s="3">
        <v>0.69</v>
      </c>
      <c r="H93" s="15">
        <v>1.73</v>
      </c>
      <c r="I93" s="3">
        <v>14</v>
      </c>
      <c r="K93">
        <f t="shared" si="28"/>
        <v>0.36999999999999966</v>
      </c>
      <c r="L93" s="7">
        <f t="shared" si="29"/>
        <v>2.6428571428571405E-2</v>
      </c>
      <c r="N93">
        <f t="shared" si="30"/>
        <v>45</v>
      </c>
      <c r="P93" s="8">
        <f t="shared" si="31"/>
        <v>45</v>
      </c>
      <c r="R93">
        <f t="shared" si="32"/>
        <v>19</v>
      </c>
      <c r="S93">
        <f t="shared" si="33"/>
        <v>4.7799999999999994</v>
      </c>
      <c r="T93" s="7">
        <f t="shared" si="34"/>
        <v>0.25157894736842101</v>
      </c>
      <c r="V93" s="8">
        <f t="shared" si="35"/>
        <v>-5</v>
      </c>
      <c r="W93" s="8">
        <f t="shared" si="36"/>
        <v>4.41</v>
      </c>
      <c r="Y93">
        <f t="shared" si="37"/>
        <v>27</v>
      </c>
      <c r="Z93">
        <f t="shared" si="38"/>
        <v>6.8099999999999987</v>
      </c>
      <c r="AA93" s="7">
        <f t="shared" si="39"/>
        <v>0.25222222222222218</v>
      </c>
      <c r="AC93" s="8">
        <f t="shared" si="40"/>
        <v>-13</v>
      </c>
      <c r="AD93" s="8">
        <f t="shared" si="41"/>
        <v>6.4399999999999995</v>
      </c>
    </row>
    <row r="94" spans="1:30" x14ac:dyDescent="0.35">
      <c r="A94" s="2">
        <v>94</v>
      </c>
      <c r="B94" s="2" t="s">
        <v>140</v>
      </c>
      <c r="C94" s="2" t="s">
        <v>141</v>
      </c>
      <c r="D94" s="3">
        <v>0.44</v>
      </c>
      <c r="E94" s="3">
        <v>0</v>
      </c>
      <c r="F94" s="3">
        <v>0</v>
      </c>
      <c r="G94" s="3">
        <v>0</v>
      </c>
      <c r="H94" s="15">
        <v>0.44</v>
      </c>
      <c r="I94" s="3">
        <v>4</v>
      </c>
      <c r="K94">
        <f t="shared" si="28"/>
        <v>-1.8399999999999999</v>
      </c>
      <c r="L94" s="7">
        <f t="shared" si="29"/>
        <v>-0.45999999999999996</v>
      </c>
      <c r="N94">
        <f t="shared" si="30"/>
        <v>32</v>
      </c>
      <c r="P94" s="8">
        <f t="shared" si="31"/>
        <v>32</v>
      </c>
      <c r="R94">
        <f t="shared" si="32"/>
        <v>14</v>
      </c>
      <c r="S94">
        <f t="shared" si="33"/>
        <v>3.6199999999999988</v>
      </c>
      <c r="T94" s="7">
        <f t="shared" si="34"/>
        <v>0.25857142857142851</v>
      </c>
      <c r="V94" s="8">
        <f t="shared" si="35"/>
        <v>-10</v>
      </c>
      <c r="W94" s="8">
        <f t="shared" si="36"/>
        <v>5.4599999999999991</v>
      </c>
      <c r="Y94">
        <f t="shared" si="37"/>
        <v>19</v>
      </c>
      <c r="Z94">
        <f t="shared" si="38"/>
        <v>4.7399999999999993</v>
      </c>
      <c r="AA94" s="7">
        <f t="shared" si="39"/>
        <v>0.24947368421052629</v>
      </c>
      <c r="AC94" s="8">
        <f t="shared" si="40"/>
        <v>-15</v>
      </c>
      <c r="AD94" s="8">
        <f t="shared" si="41"/>
        <v>6.5799999999999992</v>
      </c>
    </row>
    <row r="95" spans="1:30" x14ac:dyDescent="0.35">
      <c r="A95" s="2">
        <v>95</v>
      </c>
      <c r="B95" s="2" t="s">
        <v>140</v>
      </c>
      <c r="C95" s="2" t="s">
        <v>444</v>
      </c>
      <c r="D95" s="3">
        <v>2.04</v>
      </c>
      <c r="E95" s="3">
        <v>0</v>
      </c>
      <c r="F95" s="3">
        <v>0</v>
      </c>
      <c r="G95" s="3">
        <v>0</v>
      </c>
      <c r="H95" s="15">
        <v>2.04</v>
      </c>
      <c r="I95" s="3">
        <v>8</v>
      </c>
      <c r="K95">
        <f t="shared" si="28"/>
        <v>-2.04</v>
      </c>
      <c r="L95" s="7">
        <f t="shared" si="29"/>
        <v>-0.255</v>
      </c>
      <c r="N95">
        <f t="shared" si="30"/>
        <v>48</v>
      </c>
      <c r="P95" s="8">
        <f t="shared" si="31"/>
        <v>48</v>
      </c>
      <c r="R95">
        <f t="shared" si="32"/>
        <v>20</v>
      </c>
      <c r="S95">
        <f t="shared" si="33"/>
        <v>4.96</v>
      </c>
      <c r="T95" s="7">
        <f t="shared" si="34"/>
        <v>0.248</v>
      </c>
      <c r="V95" s="8">
        <f t="shared" si="35"/>
        <v>-12</v>
      </c>
      <c r="W95" s="8">
        <f t="shared" si="36"/>
        <v>7</v>
      </c>
      <c r="Y95">
        <f t="shared" si="37"/>
        <v>28</v>
      </c>
      <c r="Z95">
        <f t="shared" si="38"/>
        <v>6.919999999999999</v>
      </c>
      <c r="AA95" s="7">
        <f t="shared" si="39"/>
        <v>0.24714285714285711</v>
      </c>
      <c r="AC95" s="8">
        <f t="shared" si="40"/>
        <v>-20</v>
      </c>
      <c r="AD95" s="8">
        <f t="shared" si="41"/>
        <v>8.9599999999999991</v>
      </c>
    </row>
    <row r="96" spans="1:30" x14ac:dyDescent="0.35">
      <c r="A96" s="2">
        <v>96</v>
      </c>
      <c r="B96" s="2" t="s">
        <v>140</v>
      </c>
      <c r="C96" s="2" t="s">
        <v>445</v>
      </c>
      <c r="D96" s="3">
        <v>2.04</v>
      </c>
      <c r="E96" s="3">
        <v>0</v>
      </c>
      <c r="F96" s="3">
        <v>0</v>
      </c>
      <c r="G96" s="3">
        <v>0</v>
      </c>
      <c r="H96" s="15">
        <v>2.04</v>
      </c>
      <c r="I96" s="3">
        <v>8</v>
      </c>
      <c r="K96">
        <f t="shared" si="28"/>
        <v>-2.04</v>
      </c>
      <c r="L96" s="7">
        <f t="shared" si="29"/>
        <v>-0.255</v>
      </c>
      <c r="N96">
        <f t="shared" si="30"/>
        <v>48</v>
      </c>
      <c r="P96" s="8">
        <f t="shared" si="31"/>
        <v>48</v>
      </c>
      <c r="R96">
        <f t="shared" si="32"/>
        <v>20</v>
      </c>
      <c r="S96">
        <f t="shared" si="33"/>
        <v>4.96</v>
      </c>
      <c r="T96" s="7">
        <f t="shared" si="34"/>
        <v>0.248</v>
      </c>
      <c r="V96" s="8">
        <f t="shared" si="35"/>
        <v>-12</v>
      </c>
      <c r="W96" s="8">
        <f t="shared" si="36"/>
        <v>7</v>
      </c>
      <c r="Y96">
        <f t="shared" si="37"/>
        <v>28</v>
      </c>
      <c r="Z96">
        <f t="shared" si="38"/>
        <v>6.919999999999999</v>
      </c>
      <c r="AA96" s="7">
        <f t="shared" si="39"/>
        <v>0.24714285714285711</v>
      </c>
      <c r="AC96" s="8">
        <f t="shared" si="40"/>
        <v>-20</v>
      </c>
      <c r="AD96" s="8">
        <f t="shared" si="41"/>
        <v>8.9599999999999991</v>
      </c>
    </row>
    <row r="97" spans="1:30" x14ac:dyDescent="0.35">
      <c r="A97" s="2">
        <v>97</v>
      </c>
      <c r="B97" s="2" t="s">
        <v>140</v>
      </c>
      <c r="C97" s="2" t="s">
        <v>446</v>
      </c>
      <c r="D97" s="3">
        <v>2.04</v>
      </c>
      <c r="E97" s="3">
        <v>0</v>
      </c>
      <c r="F97" s="3">
        <v>0</v>
      </c>
      <c r="G97" s="3">
        <v>0</v>
      </c>
      <c r="H97" s="15">
        <v>2.04</v>
      </c>
      <c r="I97" s="3">
        <v>8</v>
      </c>
      <c r="K97">
        <f t="shared" si="28"/>
        <v>-2.04</v>
      </c>
      <c r="L97" s="7">
        <f t="shared" si="29"/>
        <v>-0.255</v>
      </c>
      <c r="N97">
        <f t="shared" si="30"/>
        <v>48</v>
      </c>
      <c r="P97" s="8">
        <f t="shared" si="31"/>
        <v>48</v>
      </c>
      <c r="R97">
        <f t="shared" si="32"/>
        <v>20</v>
      </c>
      <c r="S97">
        <f t="shared" si="33"/>
        <v>4.96</v>
      </c>
      <c r="T97" s="7">
        <f t="shared" si="34"/>
        <v>0.248</v>
      </c>
      <c r="V97" s="8">
        <f t="shared" si="35"/>
        <v>-12</v>
      </c>
      <c r="W97" s="8">
        <f t="shared" si="36"/>
        <v>7</v>
      </c>
      <c r="Y97">
        <f t="shared" si="37"/>
        <v>28</v>
      </c>
      <c r="Z97">
        <f t="shared" si="38"/>
        <v>6.919999999999999</v>
      </c>
      <c r="AA97" s="7">
        <f t="shared" si="39"/>
        <v>0.24714285714285711</v>
      </c>
      <c r="AC97" s="8">
        <f t="shared" si="40"/>
        <v>-20</v>
      </c>
      <c r="AD97" s="8">
        <f t="shared" si="41"/>
        <v>8.9599999999999991</v>
      </c>
    </row>
    <row r="98" spans="1:30" x14ac:dyDescent="0.35">
      <c r="A98" s="2">
        <v>98</v>
      </c>
      <c r="B98" s="2" t="s">
        <v>140</v>
      </c>
      <c r="C98" s="2" t="s">
        <v>447</v>
      </c>
      <c r="D98" s="3">
        <v>2.04</v>
      </c>
      <c r="E98" s="3">
        <v>0</v>
      </c>
      <c r="F98" s="3">
        <v>0</v>
      </c>
      <c r="G98" s="3">
        <v>0</v>
      </c>
      <c r="H98" s="15">
        <v>2.04</v>
      </c>
      <c r="I98" s="3">
        <v>8</v>
      </c>
      <c r="K98">
        <f t="shared" ref="K98:K123" si="42">IFERROR(((I98-MIN(I98/2,30)-4)*0.7)-$H98,0)</f>
        <v>-2.04</v>
      </c>
      <c r="L98" s="7">
        <f t="shared" ref="L98:L129" si="43">K98/I98</f>
        <v>-0.255</v>
      </c>
      <c r="N98">
        <f t="shared" ref="N98:N123" si="44">ROUND(IF(H98&lt;=3.2,28+10*(H98),(23.8+H98)/0.45),0)</f>
        <v>48</v>
      </c>
      <c r="P98" s="8">
        <f t="shared" ref="P98:P123" si="45">MAX(N98,I98)</f>
        <v>48</v>
      </c>
      <c r="R98">
        <f t="shared" ref="R98:R123" si="46">ROUND((4.17*H98)+11.67,0)</f>
        <v>20</v>
      </c>
      <c r="S98">
        <f t="shared" ref="S98:S129" si="47">(((R98*0.7)-4)*0.7)-H98</f>
        <v>4.96</v>
      </c>
      <c r="T98" s="7">
        <f t="shared" ref="T98:T129" si="48">S98/R98</f>
        <v>0.248</v>
      </c>
      <c r="V98" s="8">
        <f t="shared" ref="V98:V123" si="49">I98-R98</f>
        <v>-12</v>
      </c>
      <c r="W98" s="8">
        <f t="shared" ref="W98:W123" si="50">S98-K98</f>
        <v>7</v>
      </c>
      <c r="Y98">
        <f t="shared" ref="Y98:Y123" si="51">ROUND((5.88*H98)+16.47,0)</f>
        <v>28</v>
      </c>
      <c r="Z98">
        <f t="shared" ref="Z98:Z129" si="52">(((Y98*0.6)-4)*0.7)-H98</f>
        <v>6.919999999999999</v>
      </c>
      <c r="AA98" s="7">
        <f t="shared" ref="AA98:AA129" si="53">Z98/Y98</f>
        <v>0.24714285714285711</v>
      </c>
      <c r="AC98" s="8">
        <f t="shared" ref="AC98:AC123" si="54">I98-Y98</f>
        <v>-20</v>
      </c>
      <c r="AD98" s="8">
        <f t="shared" ref="AD98:AD123" si="55">Z98-K98</f>
        <v>8.9599999999999991</v>
      </c>
    </row>
    <row r="99" spans="1:30" x14ac:dyDescent="0.35">
      <c r="A99" s="2">
        <v>99</v>
      </c>
      <c r="B99" s="2" t="s">
        <v>140</v>
      </c>
      <c r="C99" s="2" t="s">
        <v>448</v>
      </c>
      <c r="D99" s="3">
        <v>2.04</v>
      </c>
      <c r="E99" s="3">
        <v>0</v>
      </c>
      <c r="F99" s="3">
        <v>0</v>
      </c>
      <c r="G99" s="3">
        <v>0</v>
      </c>
      <c r="H99" s="15">
        <v>2.04</v>
      </c>
      <c r="I99" s="3">
        <v>8</v>
      </c>
      <c r="K99">
        <f t="shared" si="42"/>
        <v>-2.04</v>
      </c>
      <c r="L99" s="7">
        <f t="shared" si="43"/>
        <v>-0.255</v>
      </c>
      <c r="N99">
        <f t="shared" si="44"/>
        <v>48</v>
      </c>
      <c r="P99" s="8">
        <f t="shared" si="45"/>
        <v>48</v>
      </c>
      <c r="R99">
        <f t="shared" si="46"/>
        <v>20</v>
      </c>
      <c r="S99">
        <f t="shared" si="47"/>
        <v>4.96</v>
      </c>
      <c r="T99" s="7">
        <f t="shared" si="48"/>
        <v>0.248</v>
      </c>
      <c r="V99" s="8">
        <f t="shared" si="49"/>
        <v>-12</v>
      </c>
      <c r="W99" s="8">
        <f t="shared" si="50"/>
        <v>7</v>
      </c>
      <c r="Y99">
        <f t="shared" si="51"/>
        <v>28</v>
      </c>
      <c r="Z99">
        <f t="shared" si="52"/>
        <v>6.919999999999999</v>
      </c>
      <c r="AA99" s="7">
        <f t="shared" si="53"/>
        <v>0.24714285714285711</v>
      </c>
      <c r="AC99" s="8">
        <f t="shared" si="54"/>
        <v>-20</v>
      </c>
      <c r="AD99" s="8">
        <f t="shared" si="55"/>
        <v>8.9599999999999991</v>
      </c>
    </row>
    <row r="100" spans="1:30" x14ac:dyDescent="0.35">
      <c r="C100" t="s">
        <v>449</v>
      </c>
      <c r="G100">
        <v>5.37</v>
      </c>
      <c r="H100" s="13">
        <v>14.77</v>
      </c>
      <c r="I100">
        <v>82</v>
      </c>
      <c r="K100">
        <f t="shared" si="42"/>
        <v>18.829999999999995</v>
      </c>
      <c r="L100" s="7">
        <f t="shared" si="43"/>
        <v>0.22963414634146334</v>
      </c>
      <c r="N100">
        <f t="shared" si="44"/>
        <v>86</v>
      </c>
      <c r="P100" s="8">
        <f t="shared" si="45"/>
        <v>86</v>
      </c>
      <c r="R100">
        <f t="shared" si="46"/>
        <v>73</v>
      </c>
      <c r="S100">
        <f t="shared" si="47"/>
        <v>18.199999999999992</v>
      </c>
      <c r="T100" s="7">
        <f t="shared" si="48"/>
        <v>0.24931506849315058</v>
      </c>
      <c r="V100" s="8">
        <f t="shared" si="49"/>
        <v>9</v>
      </c>
      <c r="W100" s="8">
        <f t="shared" si="50"/>
        <v>-0.63000000000000256</v>
      </c>
      <c r="Y100">
        <f t="shared" si="51"/>
        <v>103</v>
      </c>
      <c r="Z100">
        <f t="shared" si="52"/>
        <v>25.689999999999994</v>
      </c>
      <c r="AA100" s="7">
        <f t="shared" si="53"/>
        <v>0.24941747572815529</v>
      </c>
      <c r="AC100" s="8">
        <f t="shared" si="54"/>
        <v>-21</v>
      </c>
      <c r="AD100" s="8">
        <f t="shared" si="55"/>
        <v>6.8599999999999994</v>
      </c>
    </row>
    <row r="101" spans="1:30" x14ac:dyDescent="0.35">
      <c r="C101" t="s">
        <v>450</v>
      </c>
      <c r="G101">
        <v>9.5299999999999994</v>
      </c>
      <c r="H101" s="13">
        <v>10.45</v>
      </c>
      <c r="I101">
        <v>70</v>
      </c>
      <c r="K101">
        <f t="shared" si="42"/>
        <v>14.75</v>
      </c>
      <c r="L101" s="7">
        <f t="shared" si="43"/>
        <v>0.21071428571428572</v>
      </c>
      <c r="N101">
        <f t="shared" si="44"/>
        <v>76</v>
      </c>
      <c r="P101" s="8">
        <f t="shared" si="45"/>
        <v>76</v>
      </c>
      <c r="R101">
        <f t="shared" si="46"/>
        <v>55</v>
      </c>
      <c r="S101">
        <f t="shared" si="47"/>
        <v>13.7</v>
      </c>
      <c r="T101" s="7">
        <f t="shared" si="48"/>
        <v>0.24909090909090909</v>
      </c>
      <c r="V101" s="8">
        <f t="shared" si="49"/>
        <v>15</v>
      </c>
      <c r="W101" s="8">
        <f t="shared" si="50"/>
        <v>-1.0500000000000007</v>
      </c>
      <c r="Y101">
        <f t="shared" si="51"/>
        <v>78</v>
      </c>
      <c r="Z101">
        <f t="shared" si="52"/>
        <v>19.509999999999998</v>
      </c>
      <c r="AA101" s="7">
        <f t="shared" si="53"/>
        <v>0.25012820512820511</v>
      </c>
      <c r="AC101" s="8">
        <f t="shared" si="54"/>
        <v>-8</v>
      </c>
      <c r="AD101" s="8">
        <f t="shared" si="55"/>
        <v>4.759999999999998</v>
      </c>
    </row>
    <row r="102" spans="1:30" x14ac:dyDescent="0.35">
      <c r="C102" t="s">
        <v>451</v>
      </c>
      <c r="G102">
        <v>9.61</v>
      </c>
      <c r="H102" s="13">
        <v>18.77</v>
      </c>
      <c r="I102">
        <v>96</v>
      </c>
      <c r="K102">
        <f t="shared" si="42"/>
        <v>24.63</v>
      </c>
      <c r="L102" s="7">
        <f t="shared" si="43"/>
        <v>0.25656249999999997</v>
      </c>
      <c r="N102">
        <f t="shared" si="44"/>
        <v>95</v>
      </c>
      <c r="P102" s="8">
        <f t="shared" si="45"/>
        <v>96</v>
      </c>
      <c r="R102">
        <f t="shared" si="46"/>
        <v>90</v>
      </c>
      <c r="S102">
        <f t="shared" si="47"/>
        <v>22.52999999999999</v>
      </c>
      <c r="T102" s="7">
        <f t="shared" si="48"/>
        <v>0.25033333333333324</v>
      </c>
      <c r="V102" s="8">
        <f t="shared" si="49"/>
        <v>6</v>
      </c>
      <c r="W102" s="8">
        <f t="shared" si="50"/>
        <v>-2.1000000000000085</v>
      </c>
      <c r="Y102">
        <f t="shared" si="51"/>
        <v>127</v>
      </c>
      <c r="Z102">
        <f t="shared" si="52"/>
        <v>31.77</v>
      </c>
      <c r="AA102" s="7">
        <f t="shared" si="53"/>
        <v>0.2501574803149606</v>
      </c>
      <c r="AC102" s="8">
        <f t="shared" si="54"/>
        <v>-31</v>
      </c>
      <c r="AD102" s="8">
        <f t="shared" si="55"/>
        <v>7.1400000000000006</v>
      </c>
    </row>
    <row r="103" spans="1:30" x14ac:dyDescent="0.35">
      <c r="C103" t="s">
        <v>452</v>
      </c>
      <c r="G103">
        <v>4.1500000000000004</v>
      </c>
      <c r="H103" s="13">
        <v>12.63</v>
      </c>
      <c r="I103">
        <v>72</v>
      </c>
      <c r="K103">
        <f t="shared" si="42"/>
        <v>13.969999999999997</v>
      </c>
      <c r="L103" s="7">
        <f t="shared" si="43"/>
        <v>0.19402777777777774</v>
      </c>
      <c r="N103">
        <f t="shared" si="44"/>
        <v>81</v>
      </c>
      <c r="P103" s="8">
        <f t="shared" si="45"/>
        <v>81</v>
      </c>
      <c r="R103">
        <f t="shared" si="46"/>
        <v>64</v>
      </c>
      <c r="S103">
        <f t="shared" si="47"/>
        <v>15.929999999999994</v>
      </c>
      <c r="T103" s="7">
        <f t="shared" si="48"/>
        <v>0.24890624999999991</v>
      </c>
      <c r="V103" s="8">
        <f t="shared" si="49"/>
        <v>8</v>
      </c>
      <c r="W103" s="8">
        <f t="shared" si="50"/>
        <v>1.9599999999999973</v>
      </c>
      <c r="Y103">
        <f t="shared" si="51"/>
        <v>91</v>
      </c>
      <c r="Z103">
        <f t="shared" si="52"/>
        <v>22.79</v>
      </c>
      <c r="AA103" s="7">
        <f t="shared" si="53"/>
        <v>0.25043956043956045</v>
      </c>
      <c r="AC103" s="8">
        <f t="shared" si="54"/>
        <v>-19</v>
      </c>
      <c r="AD103" s="8">
        <f t="shared" si="55"/>
        <v>8.8200000000000021</v>
      </c>
    </row>
    <row r="104" spans="1:30" x14ac:dyDescent="0.35">
      <c r="C104" t="s">
        <v>453</v>
      </c>
      <c r="G104">
        <v>7.03</v>
      </c>
      <c r="H104" s="13">
        <v>10.06</v>
      </c>
      <c r="I104">
        <v>66</v>
      </c>
      <c r="K104">
        <f t="shared" si="42"/>
        <v>12.339999999999998</v>
      </c>
      <c r="L104" s="7">
        <f t="shared" si="43"/>
        <v>0.18696969696969695</v>
      </c>
      <c r="N104">
        <f t="shared" si="44"/>
        <v>75</v>
      </c>
      <c r="P104" s="8">
        <f t="shared" si="45"/>
        <v>75</v>
      </c>
      <c r="R104">
        <f t="shared" si="46"/>
        <v>54</v>
      </c>
      <c r="S104">
        <f t="shared" si="47"/>
        <v>13.599999999999996</v>
      </c>
      <c r="T104" s="7">
        <f t="shared" si="48"/>
        <v>0.25185185185185177</v>
      </c>
      <c r="V104" s="8">
        <f t="shared" si="49"/>
        <v>12</v>
      </c>
      <c r="W104" s="8">
        <f t="shared" si="50"/>
        <v>1.259999999999998</v>
      </c>
      <c r="Y104">
        <f t="shared" si="51"/>
        <v>76</v>
      </c>
      <c r="Z104">
        <f t="shared" si="52"/>
        <v>19.059999999999995</v>
      </c>
      <c r="AA104" s="7">
        <f t="shared" si="53"/>
        <v>0.25078947368421045</v>
      </c>
      <c r="AC104" s="8">
        <f t="shared" si="54"/>
        <v>-10</v>
      </c>
      <c r="AD104" s="8">
        <f t="shared" si="55"/>
        <v>6.7199999999999971</v>
      </c>
    </row>
    <row r="105" spans="1:30" x14ac:dyDescent="0.35">
      <c r="C105" t="s">
        <v>454</v>
      </c>
      <c r="G105">
        <v>14.53</v>
      </c>
      <c r="H105" s="13">
        <v>35.4</v>
      </c>
      <c r="I105">
        <v>144</v>
      </c>
      <c r="K105">
        <f t="shared" si="42"/>
        <v>41.6</v>
      </c>
      <c r="L105" s="7">
        <f t="shared" si="43"/>
        <v>0.28888888888888892</v>
      </c>
      <c r="N105">
        <f t="shared" si="44"/>
        <v>132</v>
      </c>
      <c r="P105" s="8">
        <f t="shared" si="45"/>
        <v>144</v>
      </c>
      <c r="R105">
        <f t="shared" si="46"/>
        <v>159</v>
      </c>
      <c r="S105">
        <f t="shared" si="47"/>
        <v>39.71</v>
      </c>
      <c r="T105" s="7">
        <f t="shared" si="48"/>
        <v>0.24974842767295599</v>
      </c>
      <c r="V105" s="8">
        <f t="shared" si="49"/>
        <v>-15</v>
      </c>
      <c r="W105" s="8">
        <f t="shared" si="50"/>
        <v>-1.8900000000000006</v>
      </c>
      <c r="Y105">
        <f t="shared" si="51"/>
        <v>225</v>
      </c>
      <c r="Z105">
        <f t="shared" si="52"/>
        <v>56.29999999999999</v>
      </c>
      <c r="AA105" s="7">
        <f t="shared" si="53"/>
        <v>0.25022222222222218</v>
      </c>
      <c r="AC105" s="8">
        <f t="shared" si="54"/>
        <v>-81</v>
      </c>
      <c r="AD105" s="8">
        <f t="shared" si="55"/>
        <v>14.699999999999989</v>
      </c>
    </row>
    <row r="106" spans="1:30" x14ac:dyDescent="0.35">
      <c r="C106" t="s">
        <v>455</v>
      </c>
      <c r="G106">
        <v>10.57</v>
      </c>
      <c r="H106" s="13">
        <v>30.16</v>
      </c>
      <c r="I106">
        <v>132</v>
      </c>
      <c r="K106">
        <f t="shared" si="42"/>
        <v>38.44</v>
      </c>
      <c r="L106" s="7">
        <f t="shared" si="43"/>
        <v>0.2912121212121212</v>
      </c>
      <c r="N106">
        <f t="shared" si="44"/>
        <v>120</v>
      </c>
      <c r="P106" s="8">
        <f t="shared" si="45"/>
        <v>132</v>
      </c>
      <c r="R106">
        <f t="shared" si="46"/>
        <v>137</v>
      </c>
      <c r="S106">
        <f t="shared" si="47"/>
        <v>34.169999999999987</v>
      </c>
      <c r="T106" s="7">
        <f t="shared" si="48"/>
        <v>0.24941605839416051</v>
      </c>
      <c r="V106" s="8">
        <f t="shared" si="49"/>
        <v>-5</v>
      </c>
      <c r="W106" s="8">
        <f t="shared" si="50"/>
        <v>-4.2700000000000102</v>
      </c>
      <c r="Y106">
        <f t="shared" si="51"/>
        <v>194</v>
      </c>
      <c r="Z106">
        <f t="shared" si="52"/>
        <v>48.519999999999996</v>
      </c>
      <c r="AA106" s="7">
        <f t="shared" si="53"/>
        <v>0.25010309278350512</v>
      </c>
      <c r="AC106" s="8">
        <f t="shared" si="54"/>
        <v>-62</v>
      </c>
      <c r="AD106" s="8">
        <f t="shared" si="55"/>
        <v>10.079999999999998</v>
      </c>
    </row>
    <row r="107" spans="1:30" x14ac:dyDescent="0.35">
      <c r="B107" t="s">
        <v>456</v>
      </c>
      <c r="C107" t="s">
        <v>457</v>
      </c>
      <c r="G107">
        <v>14.27</v>
      </c>
      <c r="H107" s="13">
        <v>21.4</v>
      </c>
      <c r="I107">
        <v>92</v>
      </c>
      <c r="K107">
        <f t="shared" si="42"/>
        <v>19.199999999999996</v>
      </c>
      <c r="L107" s="7">
        <f t="shared" si="43"/>
        <v>0.208695652173913</v>
      </c>
      <c r="N107">
        <f t="shared" si="44"/>
        <v>100</v>
      </c>
      <c r="P107" s="8">
        <f t="shared" si="45"/>
        <v>100</v>
      </c>
      <c r="R107">
        <f t="shared" si="46"/>
        <v>101</v>
      </c>
      <c r="S107">
        <f t="shared" si="47"/>
        <v>25.289999999999992</v>
      </c>
      <c r="T107" s="7">
        <f t="shared" si="48"/>
        <v>0.25039603960396034</v>
      </c>
      <c r="V107" s="8">
        <f t="shared" si="49"/>
        <v>-9</v>
      </c>
      <c r="W107" s="8">
        <f t="shared" si="50"/>
        <v>6.0899999999999963</v>
      </c>
      <c r="Y107">
        <f t="shared" si="51"/>
        <v>142</v>
      </c>
      <c r="Z107">
        <f t="shared" si="52"/>
        <v>35.44</v>
      </c>
      <c r="AA107" s="7">
        <f t="shared" si="53"/>
        <v>0.24957746478873238</v>
      </c>
      <c r="AC107" s="8">
        <f t="shared" si="54"/>
        <v>-50</v>
      </c>
      <c r="AD107" s="8">
        <f t="shared" si="55"/>
        <v>16.240000000000002</v>
      </c>
    </row>
    <row r="108" spans="1:30" x14ac:dyDescent="0.35">
      <c r="C108" t="s">
        <v>458</v>
      </c>
      <c r="G108">
        <v>16.66</v>
      </c>
      <c r="H108" s="13">
        <v>19.54</v>
      </c>
      <c r="I108">
        <v>96</v>
      </c>
      <c r="K108">
        <f t="shared" si="42"/>
        <v>23.86</v>
      </c>
      <c r="L108" s="7">
        <f t="shared" si="43"/>
        <v>0.24854166666666666</v>
      </c>
      <c r="N108">
        <f t="shared" si="44"/>
        <v>96</v>
      </c>
      <c r="P108" s="8">
        <f t="shared" si="45"/>
        <v>96</v>
      </c>
      <c r="R108">
        <f t="shared" si="46"/>
        <v>93</v>
      </c>
      <c r="S108">
        <f t="shared" si="47"/>
        <v>23.229999999999997</v>
      </c>
      <c r="T108" s="7">
        <f t="shared" si="48"/>
        <v>0.24978494623655911</v>
      </c>
      <c r="V108" s="8">
        <f t="shared" si="49"/>
        <v>3</v>
      </c>
      <c r="W108" s="8">
        <f t="shared" si="50"/>
        <v>-0.63000000000000256</v>
      </c>
      <c r="Y108">
        <f t="shared" si="51"/>
        <v>131</v>
      </c>
      <c r="Z108">
        <f t="shared" si="52"/>
        <v>32.679999999999993</v>
      </c>
      <c r="AA108" s="7">
        <f t="shared" si="53"/>
        <v>0.24946564885496178</v>
      </c>
      <c r="AC108" s="8">
        <f t="shared" si="54"/>
        <v>-35</v>
      </c>
      <c r="AD108" s="8">
        <f t="shared" si="55"/>
        <v>8.8199999999999932</v>
      </c>
    </row>
    <row r="109" spans="1:30" x14ac:dyDescent="0.35">
      <c r="C109" t="s">
        <v>459</v>
      </c>
      <c r="G109">
        <v>9.6199999999999992</v>
      </c>
      <c r="H109" s="13">
        <v>9.6199999999999992</v>
      </c>
      <c r="I109">
        <v>65</v>
      </c>
      <c r="K109">
        <f t="shared" si="42"/>
        <v>12.08</v>
      </c>
      <c r="L109" s="7">
        <f t="shared" si="43"/>
        <v>0.18584615384615386</v>
      </c>
      <c r="N109">
        <f t="shared" si="44"/>
        <v>74</v>
      </c>
      <c r="P109" s="8">
        <f t="shared" si="45"/>
        <v>74</v>
      </c>
      <c r="R109">
        <f t="shared" si="46"/>
        <v>52</v>
      </c>
      <c r="S109">
        <f t="shared" si="47"/>
        <v>13.059999999999997</v>
      </c>
      <c r="T109" s="7">
        <f t="shared" si="48"/>
        <v>0.25115384615384612</v>
      </c>
      <c r="V109" s="8">
        <f t="shared" si="49"/>
        <v>13</v>
      </c>
      <c r="W109" s="8">
        <f t="shared" si="50"/>
        <v>0.97999999999999687</v>
      </c>
      <c r="Y109">
        <f t="shared" si="51"/>
        <v>73</v>
      </c>
      <c r="Z109">
        <f t="shared" si="52"/>
        <v>18.239999999999995</v>
      </c>
      <c r="AA109" s="7">
        <f t="shared" si="53"/>
        <v>0.24986301369863007</v>
      </c>
      <c r="AC109" s="8">
        <f t="shared" si="54"/>
        <v>-8</v>
      </c>
      <c r="AD109" s="8">
        <f t="shared" si="55"/>
        <v>6.1599999999999948</v>
      </c>
    </row>
    <row r="110" spans="1:30" x14ac:dyDescent="0.35">
      <c r="C110" t="s">
        <v>460</v>
      </c>
      <c r="G110">
        <v>9.17</v>
      </c>
      <c r="H110" s="13">
        <v>9.17</v>
      </c>
      <c r="I110">
        <v>64</v>
      </c>
      <c r="K110">
        <f t="shared" si="42"/>
        <v>11.83</v>
      </c>
      <c r="L110" s="7">
        <f t="shared" si="43"/>
        <v>0.18484375</v>
      </c>
      <c r="N110">
        <f t="shared" si="44"/>
        <v>73</v>
      </c>
      <c r="P110" s="8">
        <f t="shared" si="45"/>
        <v>73</v>
      </c>
      <c r="R110">
        <f t="shared" si="46"/>
        <v>50</v>
      </c>
      <c r="S110">
        <f t="shared" si="47"/>
        <v>12.53</v>
      </c>
      <c r="T110" s="7">
        <f t="shared" si="48"/>
        <v>0.25059999999999999</v>
      </c>
      <c r="V110" s="8">
        <f t="shared" si="49"/>
        <v>14</v>
      </c>
      <c r="W110" s="8">
        <f t="shared" si="50"/>
        <v>0.69999999999999929</v>
      </c>
      <c r="Y110">
        <f t="shared" si="51"/>
        <v>70</v>
      </c>
      <c r="Z110">
        <f t="shared" si="52"/>
        <v>17.43</v>
      </c>
      <c r="AA110" s="7">
        <f t="shared" si="53"/>
        <v>0.249</v>
      </c>
      <c r="AC110" s="8">
        <f t="shared" si="54"/>
        <v>-6</v>
      </c>
      <c r="AD110" s="8">
        <f t="shared" si="55"/>
        <v>5.6</v>
      </c>
    </row>
    <row r="111" spans="1:30" x14ac:dyDescent="0.35">
      <c r="C111" t="s">
        <v>461</v>
      </c>
      <c r="G111">
        <v>5.99</v>
      </c>
      <c r="H111" s="13">
        <v>5.99</v>
      </c>
      <c r="I111">
        <v>48</v>
      </c>
      <c r="K111">
        <f t="shared" si="42"/>
        <v>8.01</v>
      </c>
      <c r="L111" s="7">
        <f t="shared" si="43"/>
        <v>0.166875</v>
      </c>
      <c r="N111">
        <f t="shared" si="44"/>
        <v>66</v>
      </c>
      <c r="P111" s="8">
        <f t="shared" si="45"/>
        <v>66</v>
      </c>
      <c r="R111">
        <f t="shared" si="46"/>
        <v>37</v>
      </c>
      <c r="S111">
        <f t="shared" si="47"/>
        <v>9.3399999999999981</v>
      </c>
      <c r="T111" s="7">
        <f t="shared" si="48"/>
        <v>0.25243243243243241</v>
      </c>
      <c r="V111" s="8">
        <f t="shared" si="49"/>
        <v>11</v>
      </c>
      <c r="W111" s="8">
        <f t="shared" si="50"/>
        <v>1.3299999999999983</v>
      </c>
      <c r="Y111">
        <f t="shared" si="51"/>
        <v>52</v>
      </c>
      <c r="Z111">
        <f t="shared" si="52"/>
        <v>13.049999999999999</v>
      </c>
      <c r="AA111" s="7">
        <f t="shared" si="53"/>
        <v>0.25096153846153846</v>
      </c>
      <c r="AC111" s="8">
        <f t="shared" si="54"/>
        <v>-4</v>
      </c>
      <c r="AD111" s="8">
        <f t="shared" si="55"/>
        <v>5.0399999999999991</v>
      </c>
    </row>
    <row r="112" spans="1:30" x14ac:dyDescent="0.35">
      <c r="C112" t="s">
        <v>462</v>
      </c>
      <c r="G112">
        <v>7.8</v>
      </c>
      <c r="H112" s="13">
        <v>10.56</v>
      </c>
      <c r="I112">
        <v>62</v>
      </c>
      <c r="K112">
        <f t="shared" si="42"/>
        <v>9.0399999999999974</v>
      </c>
      <c r="L112" s="7">
        <f t="shared" si="43"/>
        <v>0.14580645161290318</v>
      </c>
      <c r="N112">
        <f t="shared" si="44"/>
        <v>76</v>
      </c>
      <c r="P112" s="8">
        <f t="shared" si="45"/>
        <v>76</v>
      </c>
      <c r="R112">
        <f t="shared" si="46"/>
        <v>56</v>
      </c>
      <c r="S112">
        <f t="shared" si="47"/>
        <v>14.079999999999997</v>
      </c>
      <c r="T112" s="7">
        <f t="shared" si="48"/>
        <v>0.25142857142857139</v>
      </c>
      <c r="V112" s="8">
        <f t="shared" si="49"/>
        <v>6</v>
      </c>
      <c r="W112" s="8">
        <f t="shared" si="50"/>
        <v>5.0399999999999991</v>
      </c>
      <c r="Y112">
        <f t="shared" si="51"/>
        <v>79</v>
      </c>
      <c r="Z112">
        <f t="shared" si="52"/>
        <v>19.819999999999993</v>
      </c>
      <c r="AA112" s="7">
        <f t="shared" si="53"/>
        <v>0.25088607594936702</v>
      </c>
      <c r="AC112" s="8">
        <f t="shared" si="54"/>
        <v>-17</v>
      </c>
      <c r="AD112" s="8">
        <f t="shared" si="55"/>
        <v>10.779999999999996</v>
      </c>
    </row>
    <row r="113" spans="2:30" x14ac:dyDescent="0.35">
      <c r="C113" t="s">
        <v>463</v>
      </c>
      <c r="G113">
        <v>14.87</v>
      </c>
      <c r="H113" s="13">
        <v>18.649999999999999</v>
      </c>
      <c r="I113">
        <v>90</v>
      </c>
      <c r="K113">
        <f t="shared" si="42"/>
        <v>20.549999999999997</v>
      </c>
      <c r="L113" s="7">
        <f t="shared" si="43"/>
        <v>0.2283333333333333</v>
      </c>
      <c r="N113">
        <f t="shared" si="44"/>
        <v>94</v>
      </c>
      <c r="P113" s="8">
        <f t="shared" si="45"/>
        <v>94</v>
      </c>
      <c r="R113">
        <f t="shared" si="46"/>
        <v>89</v>
      </c>
      <c r="S113">
        <f t="shared" si="47"/>
        <v>22.159999999999997</v>
      </c>
      <c r="T113" s="7">
        <f t="shared" si="48"/>
        <v>0.24898876404494377</v>
      </c>
      <c r="V113" s="8">
        <f t="shared" si="49"/>
        <v>1</v>
      </c>
      <c r="W113" s="8">
        <f t="shared" si="50"/>
        <v>1.6099999999999994</v>
      </c>
      <c r="Y113">
        <f t="shared" si="51"/>
        <v>126</v>
      </c>
      <c r="Z113">
        <f t="shared" si="52"/>
        <v>31.469999999999992</v>
      </c>
      <c r="AA113" s="7">
        <f t="shared" si="53"/>
        <v>0.24976190476190469</v>
      </c>
      <c r="AC113" s="8">
        <f t="shared" si="54"/>
        <v>-36</v>
      </c>
      <c r="AD113" s="8">
        <f t="shared" si="55"/>
        <v>10.919999999999995</v>
      </c>
    </row>
    <row r="114" spans="2:30" x14ac:dyDescent="0.35">
      <c r="C114" t="s">
        <v>464</v>
      </c>
      <c r="G114">
        <v>12.72</v>
      </c>
      <c r="H114" s="13">
        <v>32.1</v>
      </c>
      <c r="I114">
        <v>120</v>
      </c>
      <c r="K114">
        <f t="shared" si="42"/>
        <v>28.099999999999994</v>
      </c>
      <c r="L114" s="7">
        <f t="shared" si="43"/>
        <v>0.23416666666666661</v>
      </c>
      <c r="N114">
        <f t="shared" si="44"/>
        <v>124</v>
      </c>
      <c r="P114" s="8">
        <f t="shared" si="45"/>
        <v>124</v>
      </c>
      <c r="R114">
        <f t="shared" si="46"/>
        <v>146</v>
      </c>
      <c r="S114">
        <f t="shared" si="47"/>
        <v>36.639999999999979</v>
      </c>
      <c r="T114" s="7">
        <f t="shared" si="48"/>
        <v>0.25095890410958888</v>
      </c>
      <c r="V114" s="8">
        <f t="shared" si="49"/>
        <v>-26</v>
      </c>
      <c r="W114" s="8">
        <f t="shared" si="50"/>
        <v>8.5399999999999849</v>
      </c>
      <c r="Y114">
        <f t="shared" si="51"/>
        <v>205</v>
      </c>
      <c r="Z114">
        <f t="shared" si="52"/>
        <v>51.199999999999996</v>
      </c>
      <c r="AA114" s="7">
        <f t="shared" si="53"/>
        <v>0.24975609756097558</v>
      </c>
      <c r="AC114" s="8">
        <f t="shared" si="54"/>
        <v>-85</v>
      </c>
      <c r="AD114" s="8">
        <f t="shared" si="55"/>
        <v>23.1</v>
      </c>
    </row>
    <row r="115" spans="2:30" x14ac:dyDescent="0.35">
      <c r="B115" t="s">
        <v>465</v>
      </c>
      <c r="C115" t="s">
        <v>466</v>
      </c>
      <c r="G115">
        <v>14.27</v>
      </c>
      <c r="H115" s="13">
        <v>20.55</v>
      </c>
      <c r="I115">
        <v>92</v>
      </c>
      <c r="J115" s="12"/>
      <c r="K115">
        <f t="shared" si="42"/>
        <v>20.049999999999994</v>
      </c>
      <c r="L115" s="7">
        <f t="shared" si="43"/>
        <v>0.21793478260869559</v>
      </c>
      <c r="N115">
        <f t="shared" si="44"/>
        <v>99</v>
      </c>
      <c r="P115" s="8">
        <f t="shared" si="45"/>
        <v>99</v>
      </c>
      <c r="R115">
        <f t="shared" si="46"/>
        <v>97</v>
      </c>
      <c r="S115">
        <f t="shared" si="47"/>
        <v>24.179999999999989</v>
      </c>
      <c r="T115" s="7">
        <f t="shared" si="48"/>
        <v>0.24927835051546379</v>
      </c>
      <c r="V115" s="8">
        <f t="shared" si="49"/>
        <v>-5</v>
      </c>
      <c r="W115" s="8">
        <f t="shared" si="50"/>
        <v>4.1299999999999955</v>
      </c>
      <c r="Y115">
        <f t="shared" si="51"/>
        <v>137</v>
      </c>
      <c r="Z115">
        <f t="shared" si="52"/>
        <v>34.19</v>
      </c>
      <c r="AA115" s="7">
        <f t="shared" si="53"/>
        <v>0.24956204379562041</v>
      </c>
      <c r="AC115" s="8">
        <f t="shared" si="54"/>
        <v>-45</v>
      </c>
      <c r="AD115" s="8">
        <f t="shared" si="55"/>
        <v>14.140000000000004</v>
      </c>
    </row>
    <row r="116" spans="2:30" x14ac:dyDescent="0.35">
      <c r="C116" t="s">
        <v>467</v>
      </c>
      <c r="G116">
        <v>15.06</v>
      </c>
      <c r="H116" s="13">
        <v>19.78</v>
      </c>
      <c r="I116">
        <v>96</v>
      </c>
      <c r="J116" s="12"/>
      <c r="K116">
        <f t="shared" si="42"/>
        <v>23.619999999999997</v>
      </c>
      <c r="L116" s="7">
        <f t="shared" si="43"/>
        <v>0.24604166666666663</v>
      </c>
      <c r="N116">
        <f t="shared" si="44"/>
        <v>97</v>
      </c>
      <c r="P116" s="8">
        <f t="shared" si="45"/>
        <v>97</v>
      </c>
      <c r="R116">
        <f t="shared" si="46"/>
        <v>94</v>
      </c>
      <c r="S116">
        <f t="shared" si="47"/>
        <v>23.479999999999997</v>
      </c>
      <c r="T116" s="7">
        <f t="shared" si="48"/>
        <v>0.24978723404255315</v>
      </c>
      <c r="V116" s="8">
        <f t="shared" si="49"/>
        <v>2</v>
      </c>
      <c r="W116" s="8">
        <f t="shared" si="50"/>
        <v>-0.14000000000000057</v>
      </c>
      <c r="Y116">
        <f t="shared" si="51"/>
        <v>133</v>
      </c>
      <c r="Z116">
        <f t="shared" si="52"/>
        <v>33.279999999999994</v>
      </c>
      <c r="AA116" s="7">
        <f t="shared" si="53"/>
        <v>0.25022556390977441</v>
      </c>
      <c r="AC116" s="8">
        <f t="shared" si="54"/>
        <v>-37</v>
      </c>
      <c r="AD116" s="8">
        <f t="shared" si="55"/>
        <v>9.6599999999999966</v>
      </c>
    </row>
    <row r="117" spans="2:30" x14ac:dyDescent="0.35">
      <c r="C117" t="s">
        <v>468</v>
      </c>
      <c r="G117">
        <v>9.6199999999999992</v>
      </c>
      <c r="H117" s="13">
        <v>9.6199999999999992</v>
      </c>
      <c r="I117">
        <v>62</v>
      </c>
      <c r="J117" s="12"/>
      <c r="K117">
        <f t="shared" si="42"/>
        <v>9.9799999999999986</v>
      </c>
      <c r="L117" s="7">
        <f t="shared" si="43"/>
        <v>0.16096774193548385</v>
      </c>
      <c r="N117">
        <f t="shared" si="44"/>
        <v>74</v>
      </c>
      <c r="P117" s="8">
        <f t="shared" si="45"/>
        <v>74</v>
      </c>
      <c r="R117">
        <f t="shared" si="46"/>
        <v>52</v>
      </c>
      <c r="S117">
        <f t="shared" si="47"/>
        <v>13.059999999999997</v>
      </c>
      <c r="T117" s="7">
        <f t="shared" si="48"/>
        <v>0.25115384615384612</v>
      </c>
      <c r="V117" s="8">
        <f t="shared" si="49"/>
        <v>10</v>
      </c>
      <c r="W117" s="8">
        <f t="shared" si="50"/>
        <v>3.0799999999999983</v>
      </c>
      <c r="Y117">
        <f t="shared" si="51"/>
        <v>73</v>
      </c>
      <c r="Z117">
        <f t="shared" si="52"/>
        <v>18.239999999999995</v>
      </c>
      <c r="AA117" s="7">
        <f t="shared" si="53"/>
        <v>0.24986301369863007</v>
      </c>
      <c r="AC117" s="8">
        <f t="shared" si="54"/>
        <v>-11</v>
      </c>
      <c r="AD117" s="8">
        <f t="shared" si="55"/>
        <v>8.2599999999999962</v>
      </c>
    </row>
    <row r="118" spans="2:30" x14ac:dyDescent="0.35">
      <c r="C118" t="s">
        <v>469</v>
      </c>
      <c r="G118">
        <v>9.17</v>
      </c>
      <c r="H118" s="13">
        <v>9.17</v>
      </c>
      <c r="I118">
        <v>68</v>
      </c>
      <c r="J118" s="12"/>
      <c r="K118">
        <f t="shared" si="42"/>
        <v>14.629999999999997</v>
      </c>
      <c r="L118" s="7">
        <f t="shared" si="43"/>
        <v>0.21514705882352936</v>
      </c>
      <c r="N118">
        <f t="shared" si="44"/>
        <v>73</v>
      </c>
      <c r="P118" s="8">
        <f t="shared" si="45"/>
        <v>73</v>
      </c>
      <c r="R118">
        <f t="shared" si="46"/>
        <v>50</v>
      </c>
      <c r="S118">
        <f t="shared" si="47"/>
        <v>12.53</v>
      </c>
      <c r="T118" s="7">
        <f t="shared" si="48"/>
        <v>0.25059999999999999</v>
      </c>
      <c r="V118" s="8">
        <f t="shared" si="49"/>
        <v>18</v>
      </c>
      <c r="W118" s="8">
        <f t="shared" si="50"/>
        <v>-2.0999999999999979</v>
      </c>
      <c r="Y118">
        <f t="shared" si="51"/>
        <v>70</v>
      </c>
      <c r="Z118">
        <f t="shared" si="52"/>
        <v>17.43</v>
      </c>
      <c r="AA118" s="7">
        <f t="shared" si="53"/>
        <v>0.249</v>
      </c>
      <c r="AC118" s="8">
        <f t="shared" si="54"/>
        <v>-2</v>
      </c>
      <c r="AD118" s="8">
        <f t="shared" si="55"/>
        <v>2.8000000000000025</v>
      </c>
    </row>
    <row r="119" spans="2:30" x14ac:dyDescent="0.35">
      <c r="C119" t="s">
        <v>470</v>
      </c>
      <c r="G119">
        <v>5.99</v>
      </c>
      <c r="H119" s="13">
        <v>5.99</v>
      </c>
      <c r="I119">
        <v>56</v>
      </c>
      <c r="J119" s="12"/>
      <c r="K119">
        <f t="shared" si="42"/>
        <v>10.809999999999997</v>
      </c>
      <c r="L119" s="7">
        <f t="shared" si="43"/>
        <v>0.19303571428571423</v>
      </c>
      <c r="N119">
        <f t="shared" si="44"/>
        <v>66</v>
      </c>
      <c r="P119" s="8">
        <f t="shared" si="45"/>
        <v>66</v>
      </c>
      <c r="R119">
        <f t="shared" si="46"/>
        <v>37</v>
      </c>
      <c r="S119">
        <f t="shared" si="47"/>
        <v>9.3399999999999981</v>
      </c>
      <c r="T119" s="7">
        <f t="shared" si="48"/>
        <v>0.25243243243243241</v>
      </c>
      <c r="V119" s="8">
        <f t="shared" si="49"/>
        <v>19</v>
      </c>
      <c r="W119" s="8">
        <f t="shared" si="50"/>
        <v>-1.4699999999999989</v>
      </c>
      <c r="Y119">
        <f t="shared" si="51"/>
        <v>52</v>
      </c>
      <c r="Z119">
        <f t="shared" si="52"/>
        <v>13.049999999999999</v>
      </c>
      <c r="AA119" s="7">
        <f t="shared" si="53"/>
        <v>0.25096153846153846</v>
      </c>
      <c r="AC119" s="8">
        <f t="shared" si="54"/>
        <v>4</v>
      </c>
      <c r="AD119" s="8">
        <f t="shared" si="55"/>
        <v>2.240000000000002</v>
      </c>
    </row>
    <row r="120" spans="2:30" x14ac:dyDescent="0.35">
      <c r="C120" t="s">
        <v>471</v>
      </c>
      <c r="G120">
        <v>7.8</v>
      </c>
      <c r="H120" s="13">
        <v>7.8</v>
      </c>
      <c r="I120">
        <v>60</v>
      </c>
      <c r="J120" s="12"/>
      <c r="K120">
        <f t="shared" si="42"/>
        <v>10.399999999999999</v>
      </c>
      <c r="L120" s="7">
        <f t="shared" si="43"/>
        <v>0.17333333333333331</v>
      </c>
      <c r="N120">
        <f t="shared" si="44"/>
        <v>70</v>
      </c>
      <c r="P120" s="8">
        <f t="shared" si="45"/>
        <v>70</v>
      </c>
      <c r="R120">
        <f t="shared" si="46"/>
        <v>44</v>
      </c>
      <c r="S120">
        <f t="shared" si="47"/>
        <v>10.959999999999997</v>
      </c>
      <c r="T120" s="7">
        <f t="shared" si="48"/>
        <v>0.24909090909090903</v>
      </c>
      <c r="V120" s="8">
        <f t="shared" si="49"/>
        <v>16</v>
      </c>
      <c r="W120" s="8">
        <f t="shared" si="50"/>
        <v>0.55999999999999872</v>
      </c>
      <c r="Y120">
        <f t="shared" si="51"/>
        <v>62</v>
      </c>
      <c r="Z120">
        <f t="shared" si="52"/>
        <v>15.439999999999994</v>
      </c>
      <c r="AA120" s="7">
        <f t="shared" si="53"/>
        <v>0.24903225806451604</v>
      </c>
      <c r="AC120" s="8">
        <f t="shared" si="54"/>
        <v>-2</v>
      </c>
      <c r="AD120" s="8">
        <f t="shared" si="55"/>
        <v>5.0399999999999956</v>
      </c>
    </row>
    <row r="121" spans="2:30" x14ac:dyDescent="0.35">
      <c r="C121" t="s">
        <v>472</v>
      </c>
      <c r="G121">
        <v>14.87</v>
      </c>
      <c r="H121" s="13">
        <v>17.8</v>
      </c>
      <c r="I121">
        <v>90</v>
      </c>
      <c r="J121" s="12"/>
      <c r="K121">
        <f t="shared" si="42"/>
        <v>21.399999999999995</v>
      </c>
      <c r="L121" s="7">
        <f t="shared" si="43"/>
        <v>0.23777777777777773</v>
      </c>
      <c r="N121">
        <f t="shared" si="44"/>
        <v>92</v>
      </c>
      <c r="P121" s="8">
        <f t="shared" si="45"/>
        <v>92</v>
      </c>
      <c r="R121">
        <f t="shared" si="46"/>
        <v>86</v>
      </c>
      <c r="S121">
        <f t="shared" si="47"/>
        <v>21.539999999999996</v>
      </c>
      <c r="T121" s="7">
        <f t="shared" si="48"/>
        <v>0.2504651162790697</v>
      </c>
      <c r="V121" s="8">
        <f t="shared" si="49"/>
        <v>4</v>
      </c>
      <c r="W121" s="8">
        <f t="shared" si="50"/>
        <v>0.14000000000000057</v>
      </c>
      <c r="Y121">
        <f t="shared" si="51"/>
        <v>121</v>
      </c>
      <c r="Z121">
        <f t="shared" si="52"/>
        <v>30.219999999999995</v>
      </c>
      <c r="AA121" s="7">
        <f t="shared" si="53"/>
        <v>0.24975206611570244</v>
      </c>
      <c r="AC121" s="8">
        <f t="shared" si="54"/>
        <v>-31</v>
      </c>
      <c r="AD121" s="8">
        <f t="shared" si="55"/>
        <v>8.82</v>
      </c>
    </row>
    <row r="122" spans="2:30" x14ac:dyDescent="0.35">
      <c r="C122" t="s">
        <v>473</v>
      </c>
      <c r="G122">
        <v>13.79</v>
      </c>
      <c r="H122" s="13">
        <v>32.950000000000003</v>
      </c>
      <c r="I122">
        <v>128</v>
      </c>
      <c r="J122" s="12"/>
      <c r="K122">
        <f t="shared" si="42"/>
        <v>32.849999999999994</v>
      </c>
      <c r="L122" s="7">
        <f t="shared" si="43"/>
        <v>0.25664062499999996</v>
      </c>
      <c r="N122">
        <f t="shared" si="44"/>
        <v>126</v>
      </c>
      <c r="P122" s="8">
        <f t="shared" si="45"/>
        <v>128</v>
      </c>
      <c r="R122">
        <f t="shared" si="46"/>
        <v>149</v>
      </c>
      <c r="S122">
        <f t="shared" si="47"/>
        <v>37.259999999999991</v>
      </c>
      <c r="T122" s="7">
        <f t="shared" si="48"/>
        <v>0.25006711409395965</v>
      </c>
      <c r="V122" s="8">
        <f t="shared" si="49"/>
        <v>-21</v>
      </c>
      <c r="W122" s="8">
        <f t="shared" si="50"/>
        <v>4.4099999999999966</v>
      </c>
      <c r="Y122">
        <f t="shared" si="51"/>
        <v>210</v>
      </c>
      <c r="Z122">
        <f t="shared" si="52"/>
        <v>52.449999999999989</v>
      </c>
      <c r="AA122" s="7">
        <f t="shared" si="53"/>
        <v>0.24976190476190471</v>
      </c>
      <c r="AC122" s="8">
        <f t="shared" si="54"/>
        <v>-82</v>
      </c>
      <c r="AD122" s="8">
        <f t="shared" si="55"/>
        <v>19.599999999999994</v>
      </c>
    </row>
    <row r="123" spans="2:30" x14ac:dyDescent="0.35">
      <c r="C123" s="2" t="s">
        <v>474</v>
      </c>
      <c r="H123" s="13">
        <v>3.96</v>
      </c>
      <c r="I123">
        <v>47</v>
      </c>
      <c r="K123">
        <f t="shared" si="42"/>
        <v>9.6899999999999977</v>
      </c>
      <c r="L123" s="7">
        <f t="shared" si="43"/>
        <v>0.2061702127659574</v>
      </c>
      <c r="N123">
        <f t="shared" si="44"/>
        <v>62</v>
      </c>
      <c r="P123" s="8">
        <f t="shared" si="45"/>
        <v>62</v>
      </c>
      <c r="R123">
        <f t="shared" si="46"/>
        <v>28</v>
      </c>
      <c r="S123">
        <f t="shared" si="47"/>
        <v>6.9599999999999982</v>
      </c>
      <c r="T123" s="7">
        <f t="shared" si="48"/>
        <v>0.2485714285714285</v>
      </c>
      <c r="V123" s="8">
        <f t="shared" si="49"/>
        <v>19</v>
      </c>
      <c r="W123" s="8">
        <f t="shared" si="50"/>
        <v>-2.7299999999999995</v>
      </c>
      <c r="Y123">
        <f t="shared" si="51"/>
        <v>40</v>
      </c>
      <c r="Z123">
        <f t="shared" si="52"/>
        <v>10.039999999999999</v>
      </c>
      <c r="AA123" s="7">
        <f t="shared" si="53"/>
        <v>0.251</v>
      </c>
      <c r="AC123" s="8">
        <f t="shared" si="54"/>
        <v>7</v>
      </c>
      <c r="AD123" s="8">
        <f t="shared" si="55"/>
        <v>0.35000000000000142</v>
      </c>
    </row>
  </sheetData>
  <conditionalFormatting sqref="P2:P123">
    <cfRule type="cellIs" dxfId="9" priority="16" operator="greaterThan">
      <formula>I2</formula>
    </cfRule>
  </conditionalFormatting>
  <conditionalFormatting sqref="V2:W123 AC2:AD123">
    <cfRule type="cellIs" dxfId="8" priority="1" operator="lessThan">
      <formula>0</formula>
    </cfRule>
    <cfRule type="cellIs" dxfId="7" priority="2" operator="greaterThan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8"/>
  <sheetViews>
    <sheetView workbookViewId="0">
      <selection activeCell="G2" sqref="G2:S18"/>
    </sheetView>
  </sheetViews>
  <sheetFormatPr defaultRowHeight="14.5" x14ac:dyDescent="0.35"/>
  <cols>
    <col min="1" max="1" width="8" customWidth="1"/>
    <col min="2" max="2" width="17" customWidth="1"/>
    <col min="3" max="3" width="36" customWidth="1"/>
    <col min="4" max="4" width="13" customWidth="1"/>
    <col min="5" max="5" width="19" customWidth="1"/>
  </cols>
  <sheetData>
    <row r="1" spans="1:19" ht="55" customHeight="1" x14ac:dyDescent="0.35">
      <c r="A1" s="1" t="s">
        <v>0</v>
      </c>
      <c r="B1" s="1" t="s">
        <v>475</v>
      </c>
      <c r="C1" s="1" t="s">
        <v>219</v>
      </c>
      <c r="D1" s="1" t="s">
        <v>3</v>
      </c>
      <c r="E1" s="1" t="s">
        <v>4</v>
      </c>
      <c r="G1" s="6" t="s">
        <v>5</v>
      </c>
      <c r="H1" s="6" t="s">
        <v>6</v>
      </c>
      <c r="J1" s="5" t="s">
        <v>7</v>
      </c>
      <c r="L1" s="5" t="s">
        <v>8</v>
      </c>
      <c r="N1" s="9" t="s">
        <v>476</v>
      </c>
    </row>
    <row r="2" spans="1:19" x14ac:dyDescent="0.35">
      <c r="A2" s="2">
        <v>1</v>
      </c>
      <c r="B2" s="2" t="s">
        <v>477</v>
      </c>
      <c r="C2" s="2" t="s">
        <v>478</v>
      </c>
      <c r="D2" s="3">
        <v>16.7</v>
      </c>
      <c r="E2" s="4">
        <v>98</v>
      </c>
      <c r="G2">
        <f t="shared" ref="G2:G18" si="0">IFERROR(((E2-MIN(E2/2,30)-4)*0.7)-$D2,0)</f>
        <v>28.099999999999998</v>
      </c>
      <c r="H2" s="7">
        <f t="shared" ref="H2:H18" si="1">G2/E2</f>
        <v>0.28673469387755102</v>
      </c>
      <c r="J2">
        <f t="shared" ref="J2:J18" si="2">ROUND(IF(D2&lt;=3.2,28+10*(D2),(23.8+D2)/0.45),0)</f>
        <v>90</v>
      </c>
      <c r="L2" s="8">
        <f t="shared" ref="L2:L18" si="3">MAX(J2,E2)</f>
        <v>98</v>
      </c>
      <c r="N2">
        <f t="shared" ref="N2:N18" si="4">ROUND((4.17*D2)+11.67,0)</f>
        <v>81</v>
      </c>
      <c r="O2">
        <f t="shared" ref="O2:O18" si="5">(((N2*0.7)-4)*0.7)-D2</f>
        <v>20.189999999999994</v>
      </c>
      <c r="P2" s="7">
        <f t="shared" ref="P2:P18" si="6">O2/N2</f>
        <v>0.24925925925925918</v>
      </c>
      <c r="R2" s="8">
        <f t="shared" ref="R2:R18" si="7">E2-N2</f>
        <v>17</v>
      </c>
      <c r="S2" s="8">
        <f t="shared" ref="S2:S18" si="8">O2-G2</f>
        <v>-7.9100000000000037</v>
      </c>
    </row>
    <row r="3" spans="1:19" x14ac:dyDescent="0.35">
      <c r="A3" s="2">
        <v>2</v>
      </c>
      <c r="B3" s="2" t="s">
        <v>477</v>
      </c>
      <c r="C3" s="2" t="s">
        <v>479</v>
      </c>
      <c r="D3" s="3">
        <v>35.71</v>
      </c>
      <c r="E3" s="4">
        <v>165</v>
      </c>
      <c r="G3">
        <f t="shared" si="0"/>
        <v>55.989999999999988</v>
      </c>
      <c r="H3" s="7">
        <f t="shared" si="1"/>
        <v>0.33933333333333326</v>
      </c>
      <c r="J3">
        <f t="shared" si="2"/>
        <v>132</v>
      </c>
      <c r="L3" s="8">
        <f t="shared" si="3"/>
        <v>165</v>
      </c>
      <c r="N3">
        <f t="shared" si="4"/>
        <v>161</v>
      </c>
      <c r="O3">
        <f t="shared" si="5"/>
        <v>40.379999999999988</v>
      </c>
      <c r="P3" s="7">
        <f t="shared" si="6"/>
        <v>0.25080745341614902</v>
      </c>
      <c r="R3" s="8">
        <f t="shared" si="7"/>
        <v>4</v>
      </c>
      <c r="S3" s="8">
        <f t="shared" si="8"/>
        <v>-15.61</v>
      </c>
    </row>
    <row r="4" spans="1:19" x14ac:dyDescent="0.35">
      <c r="A4" s="2">
        <v>3</v>
      </c>
      <c r="B4" s="2" t="s">
        <v>477</v>
      </c>
      <c r="C4" s="2" t="s">
        <v>480</v>
      </c>
      <c r="D4" s="3">
        <v>58.17</v>
      </c>
      <c r="E4" s="4">
        <v>255</v>
      </c>
      <c r="G4">
        <f t="shared" si="0"/>
        <v>96.529999999999987</v>
      </c>
      <c r="H4" s="7">
        <f t="shared" si="1"/>
        <v>0.3785490196078431</v>
      </c>
      <c r="J4">
        <f t="shared" si="2"/>
        <v>182</v>
      </c>
      <c r="L4" s="8">
        <f t="shared" si="3"/>
        <v>255</v>
      </c>
      <c r="N4">
        <f t="shared" si="4"/>
        <v>254</v>
      </c>
      <c r="O4">
        <f t="shared" si="5"/>
        <v>63.489999999999981</v>
      </c>
      <c r="P4" s="7">
        <f t="shared" si="6"/>
        <v>0.24996062992125975</v>
      </c>
      <c r="R4" s="8">
        <f t="shared" si="7"/>
        <v>1</v>
      </c>
      <c r="S4" s="8">
        <f t="shared" si="8"/>
        <v>-33.040000000000006</v>
      </c>
    </row>
    <row r="5" spans="1:19" x14ac:dyDescent="0.35">
      <c r="A5" s="2">
        <v>4</v>
      </c>
      <c r="B5" s="2" t="s">
        <v>477</v>
      </c>
      <c r="C5" s="2" t="s">
        <v>481</v>
      </c>
      <c r="D5" s="3">
        <v>91.66</v>
      </c>
      <c r="E5" s="4">
        <v>380</v>
      </c>
      <c r="G5">
        <f t="shared" si="0"/>
        <v>150.54</v>
      </c>
      <c r="H5" s="7">
        <f t="shared" si="1"/>
        <v>0.3961578947368421</v>
      </c>
      <c r="J5">
        <f t="shared" si="2"/>
        <v>257</v>
      </c>
      <c r="L5" s="8">
        <f t="shared" si="3"/>
        <v>380</v>
      </c>
      <c r="N5">
        <f t="shared" si="4"/>
        <v>394</v>
      </c>
      <c r="O5">
        <f t="shared" si="5"/>
        <v>98.599999999999966</v>
      </c>
      <c r="P5" s="7">
        <f t="shared" si="6"/>
        <v>0.25025380710659889</v>
      </c>
      <c r="R5" s="8">
        <f t="shared" si="7"/>
        <v>-14</v>
      </c>
      <c r="S5" s="8">
        <f t="shared" si="8"/>
        <v>-51.940000000000026</v>
      </c>
    </row>
    <row r="6" spans="1:19" x14ac:dyDescent="0.35">
      <c r="A6" s="2">
        <v>5</v>
      </c>
      <c r="B6" s="2" t="s">
        <v>477</v>
      </c>
      <c r="C6" s="2" t="s">
        <v>482</v>
      </c>
      <c r="D6" s="3">
        <v>15.02</v>
      </c>
      <c r="E6" s="4">
        <v>90</v>
      </c>
      <c r="G6">
        <f t="shared" si="0"/>
        <v>24.179999999999996</v>
      </c>
      <c r="H6" s="7">
        <f t="shared" si="1"/>
        <v>0.26866666666666661</v>
      </c>
      <c r="J6">
        <f t="shared" si="2"/>
        <v>86</v>
      </c>
      <c r="L6" s="8">
        <f t="shared" si="3"/>
        <v>90</v>
      </c>
      <c r="N6">
        <f t="shared" si="4"/>
        <v>74</v>
      </c>
      <c r="O6">
        <f t="shared" si="5"/>
        <v>18.439999999999994</v>
      </c>
      <c r="P6" s="7">
        <f t="shared" si="6"/>
        <v>0.24918918918918911</v>
      </c>
      <c r="R6" s="8">
        <f t="shared" si="7"/>
        <v>16</v>
      </c>
      <c r="S6" s="8">
        <f t="shared" si="8"/>
        <v>-5.740000000000002</v>
      </c>
    </row>
    <row r="7" spans="1:19" x14ac:dyDescent="0.35">
      <c r="A7" s="2">
        <v>6</v>
      </c>
      <c r="B7" s="2" t="s">
        <v>483</v>
      </c>
      <c r="C7" s="2" t="s">
        <v>484</v>
      </c>
      <c r="D7" s="3">
        <v>12.76</v>
      </c>
      <c r="E7" s="4">
        <v>96</v>
      </c>
      <c r="G7">
        <f t="shared" si="0"/>
        <v>30.64</v>
      </c>
      <c r="H7" s="7">
        <f t="shared" si="1"/>
        <v>0.31916666666666665</v>
      </c>
      <c r="J7">
        <f t="shared" si="2"/>
        <v>81</v>
      </c>
      <c r="L7" s="8">
        <f t="shared" si="3"/>
        <v>96</v>
      </c>
      <c r="N7">
        <f t="shared" si="4"/>
        <v>65</v>
      </c>
      <c r="O7">
        <f t="shared" si="5"/>
        <v>16.29</v>
      </c>
      <c r="P7" s="7">
        <f t="shared" si="6"/>
        <v>0.25061538461538463</v>
      </c>
      <c r="R7" s="8">
        <f t="shared" si="7"/>
        <v>31</v>
      </c>
      <c r="S7" s="8">
        <f t="shared" si="8"/>
        <v>-14.350000000000001</v>
      </c>
    </row>
    <row r="8" spans="1:19" x14ac:dyDescent="0.35">
      <c r="A8" s="2">
        <v>7</v>
      </c>
      <c r="B8" s="2" t="s">
        <v>483</v>
      </c>
      <c r="C8" s="2" t="s">
        <v>485</v>
      </c>
      <c r="D8" s="3">
        <v>29.4</v>
      </c>
      <c r="E8" s="4">
        <v>158</v>
      </c>
      <c r="G8">
        <f t="shared" si="0"/>
        <v>57.4</v>
      </c>
      <c r="H8" s="7">
        <f t="shared" si="1"/>
        <v>0.36329113924050632</v>
      </c>
      <c r="J8">
        <f t="shared" si="2"/>
        <v>118</v>
      </c>
      <c r="L8" s="8">
        <f t="shared" si="3"/>
        <v>158</v>
      </c>
      <c r="N8">
        <f t="shared" si="4"/>
        <v>134</v>
      </c>
      <c r="O8">
        <f t="shared" si="5"/>
        <v>33.459999999999994</v>
      </c>
      <c r="P8" s="7">
        <f t="shared" si="6"/>
        <v>0.24970149253731339</v>
      </c>
      <c r="R8" s="8">
        <f t="shared" si="7"/>
        <v>24</v>
      </c>
      <c r="S8" s="8">
        <f t="shared" si="8"/>
        <v>-23.940000000000005</v>
      </c>
    </row>
    <row r="9" spans="1:19" x14ac:dyDescent="0.35">
      <c r="A9" s="2">
        <v>8</v>
      </c>
      <c r="B9" s="2" t="s">
        <v>483</v>
      </c>
      <c r="C9" s="2" t="s">
        <v>486</v>
      </c>
      <c r="D9" s="3">
        <v>55.6</v>
      </c>
      <c r="E9" s="4">
        <v>268</v>
      </c>
      <c r="G9">
        <f t="shared" si="0"/>
        <v>108.19999999999999</v>
      </c>
      <c r="H9" s="7">
        <f t="shared" si="1"/>
        <v>0.40373134328358207</v>
      </c>
      <c r="J9">
        <f t="shared" si="2"/>
        <v>176</v>
      </c>
      <c r="L9" s="8">
        <f t="shared" si="3"/>
        <v>268</v>
      </c>
      <c r="N9">
        <f t="shared" si="4"/>
        <v>244</v>
      </c>
      <c r="O9">
        <f t="shared" si="5"/>
        <v>61.159999999999975</v>
      </c>
      <c r="P9" s="7">
        <f t="shared" si="6"/>
        <v>0.25065573770491795</v>
      </c>
      <c r="R9" s="8">
        <f t="shared" si="7"/>
        <v>24</v>
      </c>
      <c r="S9" s="8">
        <f t="shared" si="8"/>
        <v>-47.040000000000013</v>
      </c>
    </row>
    <row r="10" spans="1:19" x14ac:dyDescent="0.35">
      <c r="A10" s="2">
        <v>9</v>
      </c>
      <c r="B10" s="2" t="s">
        <v>483</v>
      </c>
      <c r="C10" s="2" t="s">
        <v>487</v>
      </c>
      <c r="D10" s="3">
        <v>84.85</v>
      </c>
      <c r="E10" s="4">
        <v>390</v>
      </c>
      <c r="G10">
        <f t="shared" si="0"/>
        <v>164.35</v>
      </c>
      <c r="H10" s="7">
        <f t="shared" si="1"/>
        <v>0.42141025641025642</v>
      </c>
      <c r="J10">
        <f t="shared" si="2"/>
        <v>241</v>
      </c>
      <c r="L10" s="8">
        <f t="shared" si="3"/>
        <v>390</v>
      </c>
      <c r="N10">
        <f t="shared" si="4"/>
        <v>365</v>
      </c>
      <c r="O10">
        <f t="shared" si="5"/>
        <v>91.199999999999989</v>
      </c>
      <c r="P10" s="7">
        <f t="shared" si="6"/>
        <v>0.24986301369863009</v>
      </c>
      <c r="R10" s="8">
        <f t="shared" si="7"/>
        <v>25</v>
      </c>
      <c r="S10" s="8">
        <f t="shared" si="8"/>
        <v>-73.150000000000006</v>
      </c>
    </row>
    <row r="11" spans="1:19" x14ac:dyDescent="0.35">
      <c r="A11" s="2">
        <v>10</v>
      </c>
      <c r="B11" s="2" t="s">
        <v>488</v>
      </c>
      <c r="C11" s="2" t="s">
        <v>489</v>
      </c>
      <c r="D11" s="3">
        <v>11.96</v>
      </c>
      <c r="E11" s="4">
        <v>92</v>
      </c>
      <c r="G11">
        <f t="shared" si="0"/>
        <v>28.639999999999993</v>
      </c>
      <c r="H11" s="7">
        <f t="shared" si="1"/>
        <v>0.3113043478260869</v>
      </c>
      <c r="J11">
        <f t="shared" si="2"/>
        <v>79</v>
      </c>
      <c r="L11" s="8">
        <f t="shared" si="3"/>
        <v>92</v>
      </c>
      <c r="N11">
        <f t="shared" si="4"/>
        <v>62</v>
      </c>
      <c r="O11">
        <f t="shared" si="5"/>
        <v>15.619999999999997</v>
      </c>
      <c r="P11" s="7">
        <f t="shared" si="6"/>
        <v>0.2519354838709677</v>
      </c>
      <c r="R11" s="8">
        <f t="shared" si="7"/>
        <v>30</v>
      </c>
      <c r="S11" s="8">
        <f t="shared" si="8"/>
        <v>-13.019999999999996</v>
      </c>
    </row>
    <row r="12" spans="1:19" x14ac:dyDescent="0.35">
      <c r="A12" s="2">
        <v>11</v>
      </c>
      <c r="B12" s="2" t="s">
        <v>488</v>
      </c>
      <c r="C12" s="2" t="s">
        <v>490</v>
      </c>
      <c r="D12" s="3">
        <v>24.55</v>
      </c>
      <c r="E12" s="4">
        <v>148</v>
      </c>
      <c r="G12">
        <f t="shared" si="0"/>
        <v>55.25</v>
      </c>
      <c r="H12" s="7">
        <f t="shared" si="1"/>
        <v>0.3733108108108108</v>
      </c>
      <c r="J12">
        <f t="shared" si="2"/>
        <v>107</v>
      </c>
      <c r="L12" s="8">
        <f t="shared" si="3"/>
        <v>148</v>
      </c>
      <c r="N12">
        <f t="shared" si="4"/>
        <v>114</v>
      </c>
      <c r="O12">
        <f t="shared" si="5"/>
        <v>28.509999999999994</v>
      </c>
      <c r="P12" s="7">
        <f t="shared" si="6"/>
        <v>0.25008771929824558</v>
      </c>
      <c r="R12" s="8">
        <f t="shared" si="7"/>
        <v>34</v>
      </c>
      <c r="S12" s="8">
        <f t="shared" si="8"/>
        <v>-26.740000000000006</v>
      </c>
    </row>
    <row r="13" spans="1:19" x14ac:dyDescent="0.35">
      <c r="A13" s="2">
        <v>12</v>
      </c>
      <c r="B13" s="2" t="s">
        <v>488</v>
      </c>
      <c r="C13" s="2" t="s">
        <v>491</v>
      </c>
      <c r="D13" s="3">
        <v>43.86</v>
      </c>
      <c r="E13" s="4">
        <v>235</v>
      </c>
      <c r="G13">
        <f t="shared" si="0"/>
        <v>96.839999999999989</v>
      </c>
      <c r="H13" s="7">
        <f t="shared" si="1"/>
        <v>0.41208510638297868</v>
      </c>
      <c r="J13">
        <f t="shared" si="2"/>
        <v>150</v>
      </c>
      <c r="L13" s="8">
        <f t="shared" si="3"/>
        <v>235</v>
      </c>
      <c r="N13">
        <f t="shared" si="4"/>
        <v>195</v>
      </c>
      <c r="O13">
        <f t="shared" si="5"/>
        <v>48.89</v>
      </c>
      <c r="P13" s="7">
        <f t="shared" si="6"/>
        <v>0.25071794871794872</v>
      </c>
      <c r="R13" s="8">
        <f t="shared" si="7"/>
        <v>40</v>
      </c>
      <c r="S13" s="8">
        <f t="shared" si="8"/>
        <v>-47.949999999999989</v>
      </c>
    </row>
    <row r="14" spans="1:19" x14ac:dyDescent="0.35">
      <c r="A14" s="2">
        <v>13</v>
      </c>
      <c r="B14" s="2" t="s">
        <v>488</v>
      </c>
      <c r="C14" s="2" t="s">
        <v>492</v>
      </c>
      <c r="D14" s="3">
        <v>71.48</v>
      </c>
      <c r="E14" s="4">
        <v>355</v>
      </c>
      <c r="G14">
        <f t="shared" si="0"/>
        <v>153.21999999999997</v>
      </c>
      <c r="H14" s="7">
        <f t="shared" si="1"/>
        <v>0.4316056338028168</v>
      </c>
      <c r="J14">
        <f t="shared" si="2"/>
        <v>212</v>
      </c>
      <c r="L14" s="8">
        <f t="shared" si="3"/>
        <v>355</v>
      </c>
      <c r="N14">
        <f t="shared" si="4"/>
        <v>310</v>
      </c>
      <c r="O14">
        <f t="shared" si="5"/>
        <v>77.61999999999999</v>
      </c>
      <c r="P14" s="7">
        <f t="shared" si="6"/>
        <v>0.25038709677419352</v>
      </c>
      <c r="R14" s="8">
        <f t="shared" si="7"/>
        <v>45</v>
      </c>
      <c r="S14" s="8">
        <f t="shared" si="8"/>
        <v>-75.59999999999998</v>
      </c>
    </row>
    <row r="15" spans="1:19" x14ac:dyDescent="0.35">
      <c r="A15" s="2">
        <v>14</v>
      </c>
      <c r="B15" s="2" t="s">
        <v>493</v>
      </c>
      <c r="C15" s="2" t="s">
        <v>494</v>
      </c>
      <c r="D15" s="3">
        <v>16.899999999999999</v>
      </c>
      <c r="E15" s="4">
        <v>95</v>
      </c>
      <c r="G15">
        <f t="shared" si="0"/>
        <v>25.799999999999997</v>
      </c>
      <c r="H15" s="7">
        <f t="shared" si="1"/>
        <v>0.27157894736842103</v>
      </c>
      <c r="J15">
        <f t="shared" si="2"/>
        <v>90</v>
      </c>
      <c r="L15" s="8">
        <f t="shared" si="3"/>
        <v>95</v>
      </c>
      <c r="N15">
        <f t="shared" si="4"/>
        <v>82</v>
      </c>
      <c r="O15">
        <f t="shared" si="5"/>
        <v>20.479999999999997</v>
      </c>
      <c r="P15" s="7">
        <f t="shared" si="6"/>
        <v>0.24975609756097558</v>
      </c>
      <c r="R15" s="8">
        <f t="shared" si="7"/>
        <v>13</v>
      </c>
      <c r="S15" s="8">
        <f t="shared" si="8"/>
        <v>-5.32</v>
      </c>
    </row>
    <row r="16" spans="1:19" x14ac:dyDescent="0.35">
      <c r="A16" s="2">
        <v>15</v>
      </c>
      <c r="B16" s="2" t="s">
        <v>493</v>
      </c>
      <c r="C16" s="2" t="s">
        <v>495</v>
      </c>
      <c r="D16" s="3">
        <v>35.5</v>
      </c>
      <c r="E16" s="4">
        <v>155</v>
      </c>
      <c r="G16">
        <f t="shared" si="0"/>
        <v>49.199999999999989</v>
      </c>
      <c r="H16" s="7">
        <f t="shared" si="1"/>
        <v>0.31741935483870959</v>
      </c>
      <c r="J16">
        <f t="shared" si="2"/>
        <v>132</v>
      </c>
      <c r="L16" s="8">
        <f t="shared" si="3"/>
        <v>155</v>
      </c>
      <c r="N16">
        <f t="shared" si="4"/>
        <v>160</v>
      </c>
      <c r="O16">
        <f t="shared" si="5"/>
        <v>40.099999999999994</v>
      </c>
      <c r="P16" s="7">
        <f t="shared" si="6"/>
        <v>0.25062499999999999</v>
      </c>
      <c r="R16" s="8">
        <f t="shared" si="7"/>
        <v>-5</v>
      </c>
      <c r="S16" s="8">
        <f t="shared" si="8"/>
        <v>-9.0999999999999943</v>
      </c>
    </row>
    <row r="17" spans="1:19" x14ac:dyDescent="0.35">
      <c r="A17" s="2">
        <v>16</v>
      </c>
      <c r="B17" s="2" t="s">
        <v>493</v>
      </c>
      <c r="C17" s="2" t="s">
        <v>496</v>
      </c>
      <c r="D17" s="3">
        <v>66.16</v>
      </c>
      <c r="E17" s="4">
        <v>245</v>
      </c>
      <c r="G17">
        <f t="shared" si="0"/>
        <v>81.539999999999992</v>
      </c>
      <c r="H17" s="7">
        <f t="shared" si="1"/>
        <v>0.33281632653061222</v>
      </c>
      <c r="J17">
        <f t="shared" si="2"/>
        <v>200</v>
      </c>
      <c r="L17" s="8">
        <f t="shared" si="3"/>
        <v>245</v>
      </c>
      <c r="N17">
        <f t="shared" si="4"/>
        <v>288</v>
      </c>
      <c r="O17">
        <f t="shared" si="5"/>
        <v>72.16</v>
      </c>
      <c r="P17" s="7">
        <f t="shared" si="6"/>
        <v>0.25055555555555553</v>
      </c>
      <c r="R17" s="8">
        <f t="shared" si="7"/>
        <v>-43</v>
      </c>
      <c r="S17" s="8">
        <f t="shared" si="8"/>
        <v>-9.3799999999999955</v>
      </c>
    </row>
    <row r="18" spans="1:19" x14ac:dyDescent="0.35">
      <c r="A18" s="2">
        <v>17</v>
      </c>
      <c r="B18" s="2" t="s">
        <v>493</v>
      </c>
      <c r="C18" s="2" t="s">
        <v>497</v>
      </c>
      <c r="D18" s="3">
        <v>92.33</v>
      </c>
      <c r="E18" s="4">
        <v>365</v>
      </c>
      <c r="G18">
        <f t="shared" si="0"/>
        <v>139.37</v>
      </c>
      <c r="H18" s="7">
        <f t="shared" si="1"/>
        <v>0.38183561643835617</v>
      </c>
      <c r="J18">
        <f t="shared" si="2"/>
        <v>258</v>
      </c>
      <c r="L18" s="8">
        <f t="shared" si="3"/>
        <v>365</v>
      </c>
      <c r="N18">
        <f t="shared" si="4"/>
        <v>397</v>
      </c>
      <c r="O18">
        <f t="shared" si="5"/>
        <v>99.399999999999963</v>
      </c>
      <c r="P18" s="7">
        <f t="shared" si="6"/>
        <v>0.25037783375314854</v>
      </c>
      <c r="R18" s="8">
        <f t="shared" si="7"/>
        <v>-32</v>
      </c>
      <c r="S18" s="8">
        <f t="shared" si="8"/>
        <v>-39.970000000000041</v>
      </c>
    </row>
  </sheetData>
  <conditionalFormatting sqref="L2:L18">
    <cfRule type="cellIs" dxfId="6" priority="3" operator="greaterThan">
      <formula>E2</formula>
    </cfRule>
  </conditionalFormatting>
  <conditionalFormatting sqref="R2:S1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3"/>
  <sheetViews>
    <sheetView workbookViewId="0">
      <selection activeCell="E2" sqref="E2:E10"/>
    </sheetView>
  </sheetViews>
  <sheetFormatPr defaultRowHeight="14.5" x14ac:dyDescent="0.35"/>
  <cols>
    <col min="1" max="1" width="8" customWidth="1"/>
    <col min="2" max="2" width="11" customWidth="1"/>
    <col min="3" max="3" width="31" customWidth="1"/>
    <col min="4" max="4" width="13" customWidth="1"/>
    <col min="5" max="5" width="19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5</v>
      </c>
      <c r="H1" s="6" t="s">
        <v>6</v>
      </c>
      <c r="J1" s="5" t="s">
        <v>7</v>
      </c>
      <c r="L1" s="5" t="s">
        <v>8</v>
      </c>
    </row>
    <row r="2" spans="1:12" x14ac:dyDescent="0.35">
      <c r="A2" s="2">
        <v>1</v>
      </c>
      <c r="B2" s="2"/>
      <c r="C2" s="2" t="s">
        <v>498</v>
      </c>
      <c r="D2" s="3">
        <v>5.21</v>
      </c>
      <c r="E2" s="3">
        <v>48</v>
      </c>
      <c r="G2">
        <f t="shared" ref="G2:G33" si="0">IFERROR(((E2-MIN(E2/2,30)-4)*0.7)-$D2,0)</f>
        <v>8.7899999999999991</v>
      </c>
      <c r="H2" s="7">
        <f t="shared" ref="H2:H33" si="1">G2/E2</f>
        <v>0.18312499999999998</v>
      </c>
      <c r="J2">
        <f t="shared" ref="J2:J33" si="2">ROUND(IF(D2&lt;=3.2,28+10*(D2),(23.8+D2)/0.45),0)</f>
        <v>64</v>
      </c>
      <c r="L2" s="8">
        <f t="shared" ref="L2:L33" si="3">MAX(J2,E2)</f>
        <v>64</v>
      </c>
    </row>
    <row r="3" spans="1:12" x14ac:dyDescent="0.35">
      <c r="A3" s="2">
        <v>2</v>
      </c>
      <c r="B3" s="2"/>
      <c r="C3" s="2" t="s">
        <v>499</v>
      </c>
      <c r="D3" s="3">
        <v>5.77</v>
      </c>
      <c r="E3" s="3">
        <v>43</v>
      </c>
      <c r="G3">
        <f t="shared" si="0"/>
        <v>6.48</v>
      </c>
      <c r="H3" s="7">
        <f t="shared" si="1"/>
        <v>0.15069767441860465</v>
      </c>
      <c r="J3">
        <f t="shared" si="2"/>
        <v>66</v>
      </c>
      <c r="L3" s="8">
        <f t="shared" si="3"/>
        <v>66</v>
      </c>
    </row>
    <row r="4" spans="1:12" x14ac:dyDescent="0.35">
      <c r="A4" s="2">
        <v>3</v>
      </c>
      <c r="B4" s="2"/>
      <c r="C4" s="2" t="s">
        <v>500</v>
      </c>
      <c r="D4" s="3">
        <v>5.57</v>
      </c>
      <c r="E4" s="3">
        <v>45</v>
      </c>
      <c r="G4">
        <f t="shared" si="0"/>
        <v>7.379999999999999</v>
      </c>
      <c r="H4" s="7">
        <f t="shared" si="1"/>
        <v>0.16399999999999998</v>
      </c>
      <c r="J4">
        <f t="shared" si="2"/>
        <v>65</v>
      </c>
      <c r="L4" s="8">
        <f t="shared" si="3"/>
        <v>65</v>
      </c>
    </row>
    <row r="5" spans="1:12" x14ac:dyDescent="0.35">
      <c r="A5" s="2">
        <v>4</v>
      </c>
      <c r="B5" s="2"/>
      <c r="C5" s="2" t="s">
        <v>501</v>
      </c>
      <c r="D5" s="3">
        <v>3.9</v>
      </c>
      <c r="E5" s="3">
        <v>42</v>
      </c>
      <c r="G5">
        <f t="shared" si="0"/>
        <v>7.9999999999999982</v>
      </c>
      <c r="H5" s="7">
        <f t="shared" si="1"/>
        <v>0.19047619047619044</v>
      </c>
      <c r="J5">
        <f t="shared" si="2"/>
        <v>62</v>
      </c>
      <c r="L5" s="8">
        <f t="shared" si="3"/>
        <v>62</v>
      </c>
    </row>
    <row r="6" spans="1:12" x14ac:dyDescent="0.35">
      <c r="A6" s="2">
        <v>5</v>
      </c>
      <c r="B6" s="2"/>
      <c r="C6" s="2" t="s">
        <v>502</v>
      </c>
      <c r="D6" s="3">
        <v>4.75</v>
      </c>
      <c r="E6" s="3">
        <v>35</v>
      </c>
      <c r="G6">
        <f t="shared" si="0"/>
        <v>4.6999999999999993</v>
      </c>
      <c r="H6" s="7">
        <f t="shared" si="1"/>
        <v>0.13428571428571426</v>
      </c>
      <c r="J6">
        <f t="shared" si="2"/>
        <v>63</v>
      </c>
      <c r="L6" s="8">
        <f t="shared" si="3"/>
        <v>63</v>
      </c>
    </row>
    <row r="7" spans="1:12" x14ac:dyDescent="0.35">
      <c r="A7" s="2">
        <v>6</v>
      </c>
      <c r="B7" s="2"/>
      <c r="C7" s="2" t="s">
        <v>503</v>
      </c>
      <c r="D7" s="3">
        <v>4.1900000000000004</v>
      </c>
      <c r="E7" s="3">
        <v>32</v>
      </c>
      <c r="G7">
        <f t="shared" si="0"/>
        <v>4.2099999999999982</v>
      </c>
      <c r="H7" s="7">
        <f t="shared" si="1"/>
        <v>0.13156249999999994</v>
      </c>
      <c r="J7">
        <f t="shared" si="2"/>
        <v>62</v>
      </c>
      <c r="L7" s="8">
        <f t="shared" si="3"/>
        <v>62</v>
      </c>
    </row>
    <row r="8" spans="1:12" x14ac:dyDescent="0.35">
      <c r="A8" s="2">
        <v>7</v>
      </c>
      <c r="B8" s="2"/>
      <c r="C8" s="2" t="s">
        <v>504</v>
      </c>
      <c r="D8" s="3">
        <v>4.0199999999999996</v>
      </c>
      <c r="E8" s="3">
        <v>26</v>
      </c>
      <c r="G8">
        <f t="shared" si="0"/>
        <v>2.2800000000000002</v>
      </c>
      <c r="H8" s="7">
        <f t="shared" si="1"/>
        <v>8.7692307692307708E-2</v>
      </c>
      <c r="J8">
        <f t="shared" si="2"/>
        <v>62</v>
      </c>
      <c r="L8" s="8">
        <f t="shared" si="3"/>
        <v>62</v>
      </c>
    </row>
    <row r="9" spans="1:12" x14ac:dyDescent="0.35">
      <c r="A9" s="2">
        <v>8</v>
      </c>
      <c r="B9" s="2"/>
      <c r="C9" s="2" t="s">
        <v>505</v>
      </c>
      <c r="D9" s="3">
        <v>3.06</v>
      </c>
      <c r="E9" s="3">
        <v>24</v>
      </c>
      <c r="G9">
        <f t="shared" si="0"/>
        <v>2.5399999999999996</v>
      </c>
      <c r="H9" s="7">
        <f t="shared" si="1"/>
        <v>0.10583333333333332</v>
      </c>
      <c r="J9">
        <f t="shared" si="2"/>
        <v>59</v>
      </c>
      <c r="L9" s="8">
        <f t="shared" si="3"/>
        <v>59</v>
      </c>
    </row>
    <row r="10" spans="1:12" x14ac:dyDescent="0.35">
      <c r="A10" s="2">
        <v>9</v>
      </c>
      <c r="B10" s="2"/>
      <c r="C10" s="2" t="s">
        <v>506</v>
      </c>
      <c r="D10" s="3">
        <v>5.01</v>
      </c>
      <c r="E10" s="3">
        <v>36</v>
      </c>
      <c r="G10">
        <f t="shared" si="0"/>
        <v>4.7899999999999991</v>
      </c>
      <c r="H10" s="7">
        <f t="shared" si="1"/>
        <v>0.13305555555555554</v>
      </c>
      <c r="J10">
        <f t="shared" si="2"/>
        <v>64</v>
      </c>
      <c r="L10" s="8">
        <f t="shared" si="3"/>
        <v>64</v>
      </c>
    </row>
    <row r="11" spans="1:12" x14ac:dyDescent="0.35">
      <c r="A11" s="2">
        <v>10</v>
      </c>
      <c r="B11" s="2"/>
      <c r="C11" s="2" t="s">
        <v>507</v>
      </c>
      <c r="D11" s="3">
        <v>4.6900000000000004</v>
      </c>
      <c r="E11" s="3">
        <v>60</v>
      </c>
      <c r="G11">
        <f t="shared" si="0"/>
        <v>13.509999999999998</v>
      </c>
      <c r="H11" s="7">
        <f t="shared" si="1"/>
        <v>0.22516666666666663</v>
      </c>
      <c r="J11">
        <f t="shared" si="2"/>
        <v>63</v>
      </c>
      <c r="L11" s="8">
        <f t="shared" si="3"/>
        <v>63</v>
      </c>
    </row>
    <row r="12" spans="1:12" x14ac:dyDescent="0.35">
      <c r="A12" s="2">
        <v>11</v>
      </c>
      <c r="B12" s="2"/>
      <c r="C12" s="2" t="s">
        <v>508</v>
      </c>
      <c r="D12" s="3">
        <v>6.04</v>
      </c>
      <c r="E12" s="3">
        <v>62</v>
      </c>
      <c r="G12">
        <f t="shared" si="0"/>
        <v>13.559999999999999</v>
      </c>
      <c r="H12" s="7">
        <f t="shared" si="1"/>
        <v>0.21870967741935482</v>
      </c>
      <c r="J12">
        <f t="shared" si="2"/>
        <v>66</v>
      </c>
      <c r="L12" s="8">
        <f t="shared" si="3"/>
        <v>66</v>
      </c>
    </row>
    <row r="13" spans="1:12" x14ac:dyDescent="0.35">
      <c r="A13" s="2">
        <v>12</v>
      </c>
      <c r="B13" s="2"/>
      <c r="C13" s="2" t="s">
        <v>509</v>
      </c>
      <c r="D13" s="3">
        <v>2.61</v>
      </c>
      <c r="E13" s="3">
        <v>36</v>
      </c>
      <c r="G13">
        <f t="shared" si="0"/>
        <v>7.1899999999999995</v>
      </c>
      <c r="H13" s="7">
        <f t="shared" si="1"/>
        <v>0.19972222222222222</v>
      </c>
      <c r="J13">
        <f t="shared" si="2"/>
        <v>54</v>
      </c>
      <c r="L13" s="8">
        <f t="shared" si="3"/>
        <v>54</v>
      </c>
    </row>
    <row r="14" spans="1:12" x14ac:dyDescent="0.35">
      <c r="A14" s="2">
        <v>13</v>
      </c>
      <c r="B14" s="2"/>
      <c r="C14" s="2" t="s">
        <v>510</v>
      </c>
      <c r="D14" s="3">
        <v>5.84</v>
      </c>
      <c r="E14" s="3">
        <v>49</v>
      </c>
      <c r="G14">
        <f t="shared" si="0"/>
        <v>8.51</v>
      </c>
      <c r="H14" s="7">
        <f t="shared" si="1"/>
        <v>0.1736734693877551</v>
      </c>
      <c r="J14">
        <f t="shared" si="2"/>
        <v>66</v>
      </c>
      <c r="L14" s="8">
        <f t="shared" si="3"/>
        <v>66</v>
      </c>
    </row>
    <row r="15" spans="1:12" x14ac:dyDescent="0.35">
      <c r="A15" s="2">
        <v>14</v>
      </c>
      <c r="B15" s="2"/>
      <c r="C15" s="2" t="s">
        <v>511</v>
      </c>
      <c r="D15" s="3">
        <v>3.03</v>
      </c>
      <c r="E15" s="3">
        <v>39</v>
      </c>
      <c r="G15">
        <f t="shared" si="0"/>
        <v>7.82</v>
      </c>
      <c r="H15" s="7">
        <f t="shared" si="1"/>
        <v>0.20051282051282052</v>
      </c>
      <c r="J15">
        <f t="shared" si="2"/>
        <v>58</v>
      </c>
      <c r="L15" s="8">
        <f t="shared" si="3"/>
        <v>58</v>
      </c>
    </row>
    <row r="16" spans="1:12" x14ac:dyDescent="0.35">
      <c r="A16" s="2">
        <v>15</v>
      </c>
      <c r="B16" s="2"/>
      <c r="C16" s="2" t="s">
        <v>512</v>
      </c>
      <c r="D16" s="3">
        <v>1.64</v>
      </c>
      <c r="E16" s="3">
        <v>35</v>
      </c>
      <c r="G16">
        <f t="shared" si="0"/>
        <v>7.81</v>
      </c>
      <c r="H16" s="7">
        <f t="shared" si="1"/>
        <v>0.22314285714285714</v>
      </c>
      <c r="J16">
        <f t="shared" si="2"/>
        <v>44</v>
      </c>
      <c r="L16" s="8">
        <f t="shared" si="3"/>
        <v>44</v>
      </c>
    </row>
    <row r="17" spans="1:12" x14ac:dyDescent="0.35">
      <c r="A17" s="2">
        <v>16</v>
      </c>
      <c r="B17" s="2"/>
      <c r="C17" s="2" t="s">
        <v>513</v>
      </c>
      <c r="D17" s="3">
        <v>6.61</v>
      </c>
      <c r="E17" s="3">
        <v>72</v>
      </c>
      <c r="G17">
        <f t="shared" si="0"/>
        <v>19.989999999999998</v>
      </c>
      <c r="H17" s="7">
        <f t="shared" si="1"/>
        <v>0.27763888888888888</v>
      </c>
      <c r="J17">
        <f t="shared" si="2"/>
        <v>68</v>
      </c>
      <c r="L17" s="8">
        <f t="shared" si="3"/>
        <v>72</v>
      </c>
    </row>
    <row r="18" spans="1:12" x14ac:dyDescent="0.35">
      <c r="A18" s="2">
        <v>17</v>
      </c>
      <c r="B18" s="2"/>
      <c r="C18" s="2" t="s">
        <v>514</v>
      </c>
      <c r="D18" s="3">
        <v>5.89</v>
      </c>
      <c r="E18" s="3">
        <v>82</v>
      </c>
      <c r="G18">
        <f t="shared" si="0"/>
        <v>27.709999999999994</v>
      </c>
      <c r="H18" s="7">
        <f t="shared" si="1"/>
        <v>0.33792682926829259</v>
      </c>
      <c r="J18">
        <f t="shared" si="2"/>
        <v>66</v>
      </c>
      <c r="L18" s="8">
        <f t="shared" si="3"/>
        <v>82</v>
      </c>
    </row>
    <row r="19" spans="1:12" x14ac:dyDescent="0.35">
      <c r="A19" s="2">
        <v>18</v>
      </c>
      <c r="B19" s="2"/>
      <c r="C19" s="2" t="s">
        <v>515</v>
      </c>
      <c r="D19" s="3">
        <v>5.41</v>
      </c>
      <c r="E19" s="3">
        <v>43</v>
      </c>
      <c r="G19">
        <f t="shared" si="0"/>
        <v>6.84</v>
      </c>
      <c r="H19" s="7">
        <f t="shared" si="1"/>
        <v>0.15906976744186047</v>
      </c>
      <c r="J19">
        <f t="shared" si="2"/>
        <v>65</v>
      </c>
      <c r="L19" s="8">
        <f t="shared" si="3"/>
        <v>65</v>
      </c>
    </row>
    <row r="20" spans="1:12" x14ac:dyDescent="0.35">
      <c r="A20" s="2">
        <v>19</v>
      </c>
      <c r="B20" s="2"/>
      <c r="C20" s="2" t="s">
        <v>516</v>
      </c>
      <c r="D20" s="3">
        <v>8.77</v>
      </c>
      <c r="E20" s="3">
        <v>63</v>
      </c>
      <c r="G20">
        <f t="shared" si="0"/>
        <v>11.529999999999998</v>
      </c>
      <c r="H20" s="7">
        <f t="shared" si="1"/>
        <v>0.18301587301587297</v>
      </c>
      <c r="J20">
        <f t="shared" si="2"/>
        <v>72</v>
      </c>
      <c r="L20" s="8">
        <f t="shared" si="3"/>
        <v>72</v>
      </c>
    </row>
    <row r="21" spans="1:12" x14ac:dyDescent="0.35">
      <c r="A21" s="2">
        <v>20</v>
      </c>
      <c r="B21" s="2"/>
      <c r="C21" s="2" t="s">
        <v>517</v>
      </c>
      <c r="D21" s="3">
        <v>3.44</v>
      </c>
      <c r="E21" s="3">
        <v>28</v>
      </c>
      <c r="G21">
        <f t="shared" si="0"/>
        <v>3.56</v>
      </c>
      <c r="H21" s="7">
        <f t="shared" si="1"/>
        <v>0.12714285714285714</v>
      </c>
      <c r="J21">
        <f t="shared" si="2"/>
        <v>61</v>
      </c>
      <c r="L21" s="8">
        <f t="shared" si="3"/>
        <v>61</v>
      </c>
    </row>
    <row r="22" spans="1:12" x14ac:dyDescent="0.35">
      <c r="A22" s="2">
        <v>21</v>
      </c>
      <c r="B22" s="2"/>
      <c r="C22" s="2" t="s">
        <v>518</v>
      </c>
      <c r="D22" s="3">
        <v>4.1100000000000003</v>
      </c>
      <c r="E22" s="3">
        <v>37</v>
      </c>
      <c r="G22">
        <f t="shared" si="0"/>
        <v>6.0399999999999983</v>
      </c>
      <c r="H22" s="7">
        <f t="shared" si="1"/>
        <v>0.16324324324324319</v>
      </c>
      <c r="J22">
        <f t="shared" si="2"/>
        <v>62</v>
      </c>
      <c r="L22" s="8">
        <f t="shared" si="3"/>
        <v>62</v>
      </c>
    </row>
    <row r="23" spans="1:12" x14ac:dyDescent="0.35">
      <c r="A23" s="2">
        <v>22</v>
      </c>
      <c r="B23" s="2"/>
      <c r="C23" s="2" t="s">
        <v>519</v>
      </c>
      <c r="D23" s="3">
        <v>2.56</v>
      </c>
      <c r="E23" s="3">
        <v>32</v>
      </c>
      <c r="G23">
        <f t="shared" si="0"/>
        <v>5.8399999999999981</v>
      </c>
      <c r="H23" s="7">
        <f t="shared" si="1"/>
        <v>0.18249999999999994</v>
      </c>
      <c r="J23">
        <f t="shared" si="2"/>
        <v>54</v>
      </c>
      <c r="L23" s="8">
        <f t="shared" si="3"/>
        <v>54</v>
      </c>
    </row>
    <row r="24" spans="1:12" x14ac:dyDescent="0.35">
      <c r="A24" s="2">
        <v>23</v>
      </c>
      <c r="B24" s="2"/>
      <c r="C24" s="2" t="s">
        <v>520</v>
      </c>
      <c r="D24" s="3">
        <v>2.88</v>
      </c>
      <c r="E24" s="3">
        <v>35</v>
      </c>
      <c r="G24">
        <f t="shared" si="0"/>
        <v>6.5699999999999994</v>
      </c>
      <c r="H24" s="7">
        <f t="shared" si="1"/>
        <v>0.18771428571428569</v>
      </c>
      <c r="J24">
        <f t="shared" si="2"/>
        <v>57</v>
      </c>
      <c r="L24" s="8">
        <f t="shared" si="3"/>
        <v>57</v>
      </c>
    </row>
    <row r="25" spans="1:12" x14ac:dyDescent="0.35">
      <c r="A25" s="2">
        <v>24</v>
      </c>
      <c r="B25" s="2"/>
      <c r="C25" s="2" t="s">
        <v>521</v>
      </c>
      <c r="D25" s="3">
        <v>3.77</v>
      </c>
      <c r="E25" s="3">
        <v>37</v>
      </c>
      <c r="G25">
        <f t="shared" si="0"/>
        <v>6.379999999999999</v>
      </c>
      <c r="H25" s="7">
        <f t="shared" si="1"/>
        <v>0.17243243243243239</v>
      </c>
      <c r="J25">
        <f t="shared" si="2"/>
        <v>61</v>
      </c>
      <c r="L25" s="8">
        <f t="shared" si="3"/>
        <v>61</v>
      </c>
    </row>
    <row r="26" spans="1:12" x14ac:dyDescent="0.35">
      <c r="A26" s="2">
        <v>25</v>
      </c>
      <c r="B26" s="2"/>
      <c r="C26" s="2" t="s">
        <v>522</v>
      </c>
      <c r="D26" s="3">
        <v>4.21</v>
      </c>
      <c r="E26" s="3">
        <v>36</v>
      </c>
      <c r="G26">
        <f t="shared" si="0"/>
        <v>5.589999999999999</v>
      </c>
      <c r="H26" s="7">
        <f t="shared" si="1"/>
        <v>0.15527777777777774</v>
      </c>
      <c r="J26">
        <f t="shared" si="2"/>
        <v>62</v>
      </c>
      <c r="L26" s="8">
        <f t="shared" si="3"/>
        <v>62</v>
      </c>
    </row>
    <row r="27" spans="1:12" x14ac:dyDescent="0.35">
      <c r="A27" s="2">
        <v>26</v>
      </c>
      <c r="B27" s="2"/>
      <c r="C27" s="2" t="s">
        <v>523</v>
      </c>
      <c r="D27" s="3">
        <v>5.81</v>
      </c>
      <c r="E27" s="3">
        <v>39</v>
      </c>
      <c r="G27">
        <f t="shared" si="0"/>
        <v>5.04</v>
      </c>
      <c r="H27" s="7">
        <f t="shared" si="1"/>
        <v>0.12923076923076923</v>
      </c>
      <c r="J27">
        <f t="shared" si="2"/>
        <v>66</v>
      </c>
      <c r="L27" s="8">
        <f t="shared" si="3"/>
        <v>66</v>
      </c>
    </row>
    <row r="28" spans="1:12" x14ac:dyDescent="0.35">
      <c r="A28" s="2">
        <v>27</v>
      </c>
      <c r="B28" s="2"/>
      <c r="C28" s="2" t="s">
        <v>524</v>
      </c>
      <c r="D28" s="3">
        <v>5.23</v>
      </c>
      <c r="E28" s="3">
        <v>47</v>
      </c>
      <c r="G28">
        <f t="shared" si="0"/>
        <v>8.4199999999999982</v>
      </c>
      <c r="H28" s="7">
        <f t="shared" si="1"/>
        <v>0.17914893617021271</v>
      </c>
      <c r="J28">
        <f t="shared" si="2"/>
        <v>65</v>
      </c>
      <c r="L28" s="8">
        <f t="shared" si="3"/>
        <v>65</v>
      </c>
    </row>
    <row r="29" spans="1:12" x14ac:dyDescent="0.35">
      <c r="A29" s="2">
        <v>28</v>
      </c>
      <c r="B29" s="2"/>
      <c r="C29" s="2" t="s">
        <v>525</v>
      </c>
      <c r="D29" s="3">
        <v>4.25</v>
      </c>
      <c r="E29" s="3">
        <v>57</v>
      </c>
      <c r="G29">
        <f t="shared" si="0"/>
        <v>12.899999999999999</v>
      </c>
      <c r="H29" s="7">
        <f t="shared" si="1"/>
        <v>0.22631578947368419</v>
      </c>
      <c r="J29">
        <f t="shared" si="2"/>
        <v>62</v>
      </c>
      <c r="L29" s="8">
        <f t="shared" si="3"/>
        <v>62</v>
      </c>
    </row>
    <row r="30" spans="1:12" x14ac:dyDescent="0.35">
      <c r="A30" s="2">
        <v>29</v>
      </c>
      <c r="B30" s="2"/>
      <c r="C30" s="2" t="s">
        <v>526</v>
      </c>
      <c r="D30" s="3">
        <v>6.91</v>
      </c>
      <c r="E30" s="3">
        <v>65</v>
      </c>
      <c r="G30">
        <f t="shared" si="0"/>
        <v>14.79</v>
      </c>
      <c r="H30" s="7">
        <f t="shared" si="1"/>
        <v>0.22753846153846152</v>
      </c>
      <c r="J30">
        <f t="shared" si="2"/>
        <v>68</v>
      </c>
      <c r="L30" s="8">
        <f t="shared" si="3"/>
        <v>68</v>
      </c>
    </row>
    <row r="31" spans="1:12" x14ac:dyDescent="0.35">
      <c r="A31" s="2">
        <v>30</v>
      </c>
      <c r="B31" s="2"/>
      <c r="C31" s="2" t="s">
        <v>527</v>
      </c>
      <c r="D31" s="3">
        <v>5.87</v>
      </c>
      <c r="E31" s="3">
        <v>56</v>
      </c>
      <c r="G31">
        <f t="shared" si="0"/>
        <v>10.929999999999996</v>
      </c>
      <c r="H31" s="7">
        <f t="shared" si="1"/>
        <v>0.19517857142857137</v>
      </c>
      <c r="J31">
        <f t="shared" si="2"/>
        <v>66</v>
      </c>
      <c r="L31" s="8">
        <f t="shared" si="3"/>
        <v>66</v>
      </c>
    </row>
    <row r="32" spans="1:12" x14ac:dyDescent="0.35">
      <c r="A32" s="2">
        <v>31</v>
      </c>
      <c r="B32" s="2"/>
      <c r="C32" s="2" t="s">
        <v>528</v>
      </c>
      <c r="D32" s="3">
        <v>3.84</v>
      </c>
      <c r="E32" s="3">
        <v>45</v>
      </c>
      <c r="G32">
        <f t="shared" si="0"/>
        <v>9.11</v>
      </c>
      <c r="H32" s="7">
        <f t="shared" si="1"/>
        <v>0.20244444444444443</v>
      </c>
      <c r="J32">
        <f t="shared" si="2"/>
        <v>61</v>
      </c>
      <c r="L32" s="8">
        <f t="shared" si="3"/>
        <v>61</v>
      </c>
    </row>
    <row r="33" spans="1:12" x14ac:dyDescent="0.35">
      <c r="A33" s="2">
        <v>32</v>
      </c>
      <c r="B33" s="2"/>
      <c r="C33" s="2" t="s">
        <v>529</v>
      </c>
      <c r="D33" s="3">
        <v>3.92</v>
      </c>
      <c r="E33" s="3">
        <v>44</v>
      </c>
      <c r="G33">
        <f t="shared" si="0"/>
        <v>8.68</v>
      </c>
      <c r="H33" s="7">
        <f t="shared" si="1"/>
        <v>0.19727272727272727</v>
      </c>
      <c r="J33">
        <f t="shared" si="2"/>
        <v>62</v>
      </c>
      <c r="L33" s="8">
        <f t="shared" si="3"/>
        <v>62</v>
      </c>
    </row>
    <row r="34" spans="1:12" x14ac:dyDescent="0.35">
      <c r="A34" s="2">
        <v>33</v>
      </c>
      <c r="B34" s="2"/>
      <c r="C34" s="2" t="s">
        <v>530</v>
      </c>
      <c r="D34" s="3">
        <v>5.23</v>
      </c>
      <c r="E34" s="3">
        <v>48</v>
      </c>
      <c r="G34">
        <f t="shared" ref="G34:G65" si="4">IFERROR(((E34-MIN(E34/2,30)-4)*0.7)-$D34,0)</f>
        <v>8.77</v>
      </c>
      <c r="H34" s="7">
        <f t="shared" ref="H34:H65" si="5">G34/E34</f>
        <v>0.18270833333333333</v>
      </c>
      <c r="J34">
        <f t="shared" ref="J34:J65" si="6">ROUND(IF(D34&lt;=3.2,28+10*(D34),(23.8+D34)/0.45),0)</f>
        <v>65</v>
      </c>
      <c r="L34" s="8">
        <f t="shared" ref="L34:L65" si="7">MAX(J34,E34)</f>
        <v>65</v>
      </c>
    </row>
    <row r="35" spans="1:12" x14ac:dyDescent="0.35">
      <c r="A35" s="2">
        <v>34</v>
      </c>
      <c r="B35" s="2"/>
      <c r="C35" s="2" t="s">
        <v>531</v>
      </c>
      <c r="D35" s="3">
        <v>3.4</v>
      </c>
      <c r="E35" s="3">
        <v>48</v>
      </c>
      <c r="G35">
        <f t="shared" si="4"/>
        <v>10.6</v>
      </c>
      <c r="H35" s="7">
        <f t="shared" si="5"/>
        <v>0.22083333333333333</v>
      </c>
      <c r="J35">
        <f t="shared" si="6"/>
        <v>60</v>
      </c>
      <c r="L35" s="8">
        <f t="shared" si="7"/>
        <v>60</v>
      </c>
    </row>
    <row r="36" spans="1:12" x14ac:dyDescent="0.35">
      <c r="A36" s="2">
        <v>35</v>
      </c>
      <c r="B36" s="2"/>
      <c r="C36" s="2" t="s">
        <v>532</v>
      </c>
      <c r="D36" s="3">
        <v>4.91</v>
      </c>
      <c r="E36" s="3">
        <v>63</v>
      </c>
      <c r="G36">
        <f t="shared" si="4"/>
        <v>15.389999999999997</v>
      </c>
      <c r="H36" s="7">
        <f t="shared" si="5"/>
        <v>0.24428571428571424</v>
      </c>
      <c r="J36">
        <f t="shared" si="6"/>
        <v>64</v>
      </c>
      <c r="L36" s="8">
        <f t="shared" si="7"/>
        <v>64</v>
      </c>
    </row>
    <row r="37" spans="1:12" x14ac:dyDescent="0.35">
      <c r="A37" s="2">
        <v>36</v>
      </c>
      <c r="B37" s="2"/>
      <c r="C37" s="2" t="s">
        <v>533</v>
      </c>
      <c r="D37" s="3">
        <v>5.07</v>
      </c>
      <c r="E37" s="3">
        <v>62</v>
      </c>
      <c r="G37">
        <f t="shared" si="4"/>
        <v>14.529999999999998</v>
      </c>
      <c r="H37" s="7">
        <f t="shared" si="5"/>
        <v>0.23435483870967738</v>
      </c>
      <c r="J37">
        <f t="shared" si="6"/>
        <v>64</v>
      </c>
      <c r="L37" s="8">
        <f t="shared" si="7"/>
        <v>64</v>
      </c>
    </row>
    <row r="38" spans="1:12" x14ac:dyDescent="0.35">
      <c r="A38" s="2">
        <v>37</v>
      </c>
      <c r="B38" s="2"/>
      <c r="C38" s="2" t="s">
        <v>534</v>
      </c>
      <c r="D38" s="3">
        <v>3.03</v>
      </c>
      <c r="E38" s="3">
        <v>45</v>
      </c>
      <c r="G38">
        <f t="shared" si="4"/>
        <v>9.92</v>
      </c>
      <c r="H38" s="7">
        <f t="shared" si="5"/>
        <v>0.22044444444444444</v>
      </c>
      <c r="J38">
        <f t="shared" si="6"/>
        <v>58</v>
      </c>
      <c r="L38" s="8">
        <f t="shared" si="7"/>
        <v>58</v>
      </c>
    </row>
    <row r="39" spans="1:12" x14ac:dyDescent="0.35">
      <c r="A39" s="2">
        <v>38</v>
      </c>
      <c r="B39" s="2"/>
      <c r="C39" s="2" t="s">
        <v>535</v>
      </c>
      <c r="D39" s="3">
        <v>4.6500000000000004</v>
      </c>
      <c r="E39" s="3">
        <v>64</v>
      </c>
      <c r="G39">
        <f t="shared" si="4"/>
        <v>16.350000000000001</v>
      </c>
      <c r="H39" s="7">
        <f t="shared" si="5"/>
        <v>0.25546875000000002</v>
      </c>
      <c r="J39">
        <f t="shared" si="6"/>
        <v>63</v>
      </c>
      <c r="L39" s="8">
        <f t="shared" si="7"/>
        <v>64</v>
      </c>
    </row>
    <row r="40" spans="1:12" x14ac:dyDescent="0.35">
      <c r="A40" s="2">
        <v>39</v>
      </c>
      <c r="B40" s="2"/>
      <c r="C40" s="2" t="s">
        <v>536</v>
      </c>
      <c r="D40" s="3">
        <v>3.94</v>
      </c>
      <c r="E40" s="2"/>
      <c r="G40">
        <f t="shared" si="4"/>
        <v>-6.74</v>
      </c>
      <c r="H40" s="7" t="e">
        <f t="shared" si="5"/>
        <v>#DIV/0!</v>
      </c>
      <c r="J40">
        <f t="shared" si="6"/>
        <v>62</v>
      </c>
      <c r="L40" s="8">
        <f t="shared" si="7"/>
        <v>62</v>
      </c>
    </row>
    <row r="41" spans="1:12" x14ac:dyDescent="0.35">
      <c r="A41" s="2">
        <v>40</v>
      </c>
      <c r="B41" s="2"/>
      <c r="C41" s="2" t="s">
        <v>537</v>
      </c>
      <c r="D41" s="3">
        <v>4.24</v>
      </c>
      <c r="E41" s="3">
        <v>54</v>
      </c>
      <c r="G41">
        <f t="shared" si="4"/>
        <v>11.859999999999998</v>
      </c>
      <c r="H41" s="7">
        <f t="shared" si="5"/>
        <v>0.21962962962962959</v>
      </c>
      <c r="J41">
        <f t="shared" si="6"/>
        <v>62</v>
      </c>
      <c r="L41" s="8">
        <f t="shared" si="7"/>
        <v>62</v>
      </c>
    </row>
    <row r="42" spans="1:12" x14ac:dyDescent="0.35">
      <c r="A42" s="2">
        <v>41</v>
      </c>
      <c r="B42" s="2"/>
      <c r="C42" s="2" t="s">
        <v>538</v>
      </c>
      <c r="D42" s="3">
        <v>4.71</v>
      </c>
      <c r="E42" s="3">
        <v>56</v>
      </c>
      <c r="G42">
        <f t="shared" si="4"/>
        <v>12.089999999999996</v>
      </c>
      <c r="H42" s="7">
        <f t="shared" si="5"/>
        <v>0.21589285714285708</v>
      </c>
      <c r="J42">
        <f t="shared" si="6"/>
        <v>63</v>
      </c>
      <c r="L42" s="8">
        <f t="shared" si="7"/>
        <v>63</v>
      </c>
    </row>
    <row r="43" spans="1:12" x14ac:dyDescent="0.35">
      <c r="A43" s="2">
        <v>42</v>
      </c>
      <c r="B43" s="2"/>
      <c r="C43" s="2" t="s">
        <v>539</v>
      </c>
      <c r="D43" s="3">
        <v>5.84</v>
      </c>
      <c r="E43" s="3">
        <v>55</v>
      </c>
      <c r="G43">
        <f t="shared" si="4"/>
        <v>10.61</v>
      </c>
      <c r="H43" s="7">
        <f t="shared" si="5"/>
        <v>0.19290909090909089</v>
      </c>
      <c r="J43">
        <f t="shared" si="6"/>
        <v>66</v>
      </c>
      <c r="L43" s="8">
        <f t="shared" si="7"/>
        <v>66</v>
      </c>
    </row>
    <row r="44" spans="1:12" x14ac:dyDescent="0.35">
      <c r="A44" s="2">
        <v>43</v>
      </c>
      <c r="B44" s="2"/>
      <c r="C44" s="2" t="s">
        <v>540</v>
      </c>
      <c r="D44" s="3">
        <v>7.34</v>
      </c>
      <c r="E44" s="3">
        <v>58</v>
      </c>
      <c r="G44">
        <f t="shared" si="4"/>
        <v>10.16</v>
      </c>
      <c r="H44" s="7">
        <f t="shared" si="5"/>
        <v>0.17517241379310344</v>
      </c>
      <c r="J44">
        <f t="shared" si="6"/>
        <v>69</v>
      </c>
      <c r="L44" s="8">
        <f t="shared" si="7"/>
        <v>69</v>
      </c>
    </row>
    <row r="45" spans="1:12" x14ac:dyDescent="0.35">
      <c r="A45" s="2">
        <v>44</v>
      </c>
      <c r="B45" s="2"/>
      <c r="C45" s="2" t="s">
        <v>541</v>
      </c>
      <c r="D45" s="3">
        <v>3.93</v>
      </c>
      <c r="E45" s="2"/>
      <c r="G45">
        <f t="shared" si="4"/>
        <v>-6.73</v>
      </c>
      <c r="H45" s="7" t="e">
        <f t="shared" si="5"/>
        <v>#DIV/0!</v>
      </c>
      <c r="J45">
        <f t="shared" si="6"/>
        <v>62</v>
      </c>
      <c r="L45" s="8">
        <f t="shared" si="7"/>
        <v>62</v>
      </c>
    </row>
    <row r="46" spans="1:12" x14ac:dyDescent="0.35">
      <c r="A46" s="2">
        <v>45</v>
      </c>
      <c r="B46" s="2"/>
      <c r="C46" s="2" t="s">
        <v>542</v>
      </c>
      <c r="D46" s="3">
        <v>3.33</v>
      </c>
      <c r="E46" s="2"/>
      <c r="G46">
        <f t="shared" si="4"/>
        <v>-6.13</v>
      </c>
      <c r="H46" s="7" t="e">
        <f t="shared" si="5"/>
        <v>#DIV/0!</v>
      </c>
      <c r="J46">
        <f t="shared" si="6"/>
        <v>60</v>
      </c>
      <c r="L46" s="8">
        <f t="shared" si="7"/>
        <v>60</v>
      </c>
    </row>
    <row r="47" spans="1:12" x14ac:dyDescent="0.35">
      <c r="A47" s="2">
        <v>46</v>
      </c>
      <c r="B47" s="2"/>
      <c r="C47" s="2" t="s">
        <v>543</v>
      </c>
      <c r="D47" s="3">
        <v>3.85</v>
      </c>
      <c r="E47" s="2"/>
      <c r="G47">
        <f t="shared" si="4"/>
        <v>-6.65</v>
      </c>
      <c r="H47" s="7" t="e">
        <f t="shared" si="5"/>
        <v>#DIV/0!</v>
      </c>
      <c r="J47">
        <f t="shared" si="6"/>
        <v>61</v>
      </c>
      <c r="L47" s="8">
        <f t="shared" si="7"/>
        <v>61</v>
      </c>
    </row>
    <row r="48" spans="1:12" x14ac:dyDescent="0.35">
      <c r="A48" s="2">
        <v>47</v>
      </c>
      <c r="B48" s="2"/>
      <c r="C48" s="2" t="s">
        <v>544</v>
      </c>
      <c r="D48" s="3">
        <v>4.53</v>
      </c>
      <c r="E48" s="2"/>
      <c r="G48">
        <f t="shared" si="4"/>
        <v>-7.33</v>
      </c>
      <c r="H48" s="7" t="e">
        <f t="shared" si="5"/>
        <v>#DIV/0!</v>
      </c>
      <c r="J48">
        <f t="shared" si="6"/>
        <v>63</v>
      </c>
      <c r="L48" s="8">
        <f t="shared" si="7"/>
        <v>63</v>
      </c>
    </row>
    <row r="49" spans="1:12" x14ac:dyDescent="0.35">
      <c r="A49" s="2">
        <v>48</v>
      </c>
      <c r="B49" s="2"/>
      <c r="C49" s="2" t="s">
        <v>545</v>
      </c>
      <c r="D49" s="3">
        <v>6.02</v>
      </c>
      <c r="E49" s="2"/>
      <c r="G49">
        <f t="shared" si="4"/>
        <v>-8.82</v>
      </c>
      <c r="H49" s="7" t="e">
        <f t="shared" si="5"/>
        <v>#DIV/0!</v>
      </c>
      <c r="J49">
        <f t="shared" si="6"/>
        <v>66</v>
      </c>
      <c r="L49" s="8">
        <f t="shared" si="7"/>
        <v>66</v>
      </c>
    </row>
    <row r="50" spans="1:12" x14ac:dyDescent="0.35">
      <c r="A50" s="2">
        <v>49</v>
      </c>
      <c r="B50" s="2"/>
      <c r="C50" s="2" t="s">
        <v>546</v>
      </c>
      <c r="D50" s="3">
        <v>9.41</v>
      </c>
      <c r="E50" s="2"/>
      <c r="G50">
        <f t="shared" si="4"/>
        <v>-12.21</v>
      </c>
      <c r="H50" s="7" t="e">
        <f t="shared" si="5"/>
        <v>#DIV/0!</v>
      </c>
      <c r="J50">
        <f t="shared" si="6"/>
        <v>74</v>
      </c>
      <c r="L50" s="8">
        <f t="shared" si="7"/>
        <v>74</v>
      </c>
    </row>
    <row r="51" spans="1:12" x14ac:dyDescent="0.35">
      <c r="A51" s="2">
        <v>50</v>
      </c>
      <c r="B51" s="2"/>
      <c r="C51" s="2" t="s">
        <v>547</v>
      </c>
      <c r="D51" s="3">
        <v>6.56</v>
      </c>
      <c r="E51" s="2"/>
      <c r="G51">
        <f t="shared" si="4"/>
        <v>-9.36</v>
      </c>
      <c r="H51" s="7" t="e">
        <f t="shared" si="5"/>
        <v>#DIV/0!</v>
      </c>
      <c r="J51">
        <f t="shared" si="6"/>
        <v>67</v>
      </c>
      <c r="L51" s="8">
        <f t="shared" si="7"/>
        <v>67</v>
      </c>
    </row>
    <row r="52" spans="1:12" x14ac:dyDescent="0.35">
      <c r="A52" s="2">
        <v>51</v>
      </c>
      <c r="B52" s="2"/>
      <c r="C52" s="2" t="s">
        <v>548</v>
      </c>
      <c r="D52" s="3">
        <v>7.35</v>
      </c>
      <c r="E52" s="3">
        <v>61</v>
      </c>
      <c r="G52">
        <f t="shared" si="4"/>
        <v>11.549999999999999</v>
      </c>
      <c r="H52" s="7">
        <f t="shared" si="5"/>
        <v>0.18934426229508194</v>
      </c>
      <c r="J52">
        <f t="shared" si="6"/>
        <v>69</v>
      </c>
      <c r="L52" s="8">
        <f t="shared" si="7"/>
        <v>69</v>
      </c>
    </row>
    <row r="53" spans="1:12" x14ac:dyDescent="0.35">
      <c r="A53" s="2">
        <v>52</v>
      </c>
      <c r="B53" s="2"/>
      <c r="C53" s="2" t="s">
        <v>549</v>
      </c>
      <c r="D53" s="3">
        <v>6.61</v>
      </c>
      <c r="E53" s="3">
        <v>54</v>
      </c>
      <c r="G53">
        <f t="shared" si="4"/>
        <v>9.4899999999999984</v>
      </c>
      <c r="H53" s="7">
        <f t="shared" si="5"/>
        <v>0.17574074074074073</v>
      </c>
      <c r="J53">
        <f t="shared" si="6"/>
        <v>68</v>
      </c>
      <c r="L53" s="8">
        <f t="shared" si="7"/>
        <v>68</v>
      </c>
    </row>
    <row r="54" spans="1:12" x14ac:dyDescent="0.35">
      <c r="A54" s="2">
        <v>53</v>
      </c>
      <c r="B54" s="2"/>
      <c r="C54" s="2" t="s">
        <v>550</v>
      </c>
      <c r="D54" s="3">
        <v>4.92</v>
      </c>
      <c r="E54" s="3">
        <v>42</v>
      </c>
      <c r="G54">
        <f t="shared" si="4"/>
        <v>6.9799999999999986</v>
      </c>
      <c r="H54" s="7">
        <f t="shared" si="5"/>
        <v>0.16619047619047617</v>
      </c>
      <c r="J54">
        <f t="shared" si="6"/>
        <v>64</v>
      </c>
      <c r="L54" s="8">
        <f t="shared" si="7"/>
        <v>64</v>
      </c>
    </row>
    <row r="55" spans="1:12" x14ac:dyDescent="0.35">
      <c r="A55" s="2">
        <v>54</v>
      </c>
      <c r="B55" s="2"/>
      <c r="C55" s="2" t="s">
        <v>551</v>
      </c>
      <c r="D55" s="3">
        <v>5.74</v>
      </c>
      <c r="E55" s="3">
        <v>49</v>
      </c>
      <c r="G55">
        <f t="shared" si="4"/>
        <v>8.61</v>
      </c>
      <c r="H55" s="7">
        <f t="shared" si="5"/>
        <v>0.17571428571428571</v>
      </c>
      <c r="J55">
        <f t="shared" si="6"/>
        <v>66</v>
      </c>
      <c r="L55" s="8">
        <f t="shared" si="7"/>
        <v>66</v>
      </c>
    </row>
    <row r="56" spans="1:12" x14ac:dyDescent="0.35">
      <c r="A56" s="2">
        <v>55</v>
      </c>
      <c r="B56" s="2"/>
      <c r="C56" s="2" t="s">
        <v>552</v>
      </c>
      <c r="D56" s="3">
        <v>5.84</v>
      </c>
      <c r="E56" s="3">
        <v>67</v>
      </c>
      <c r="G56">
        <f t="shared" si="4"/>
        <v>17.259999999999998</v>
      </c>
      <c r="H56" s="7">
        <f t="shared" si="5"/>
        <v>0.25761194029850742</v>
      </c>
      <c r="J56">
        <f t="shared" si="6"/>
        <v>66</v>
      </c>
      <c r="L56" s="8">
        <f t="shared" si="7"/>
        <v>67</v>
      </c>
    </row>
    <row r="57" spans="1:12" x14ac:dyDescent="0.35">
      <c r="A57" s="2">
        <v>56</v>
      </c>
      <c r="B57" s="2"/>
      <c r="C57" s="2" t="s">
        <v>553</v>
      </c>
      <c r="D57" s="3">
        <v>4.55</v>
      </c>
      <c r="E57" s="3">
        <v>58</v>
      </c>
      <c r="G57">
        <f t="shared" si="4"/>
        <v>12.95</v>
      </c>
      <c r="H57" s="7">
        <f t="shared" si="5"/>
        <v>0.22327586206896549</v>
      </c>
      <c r="J57">
        <f t="shared" si="6"/>
        <v>63</v>
      </c>
      <c r="L57" s="8">
        <f t="shared" si="7"/>
        <v>63</v>
      </c>
    </row>
    <row r="58" spans="1:12" x14ac:dyDescent="0.35">
      <c r="A58" s="2">
        <v>57</v>
      </c>
      <c r="B58" s="2"/>
      <c r="C58" s="2" t="s">
        <v>554</v>
      </c>
      <c r="D58" s="3">
        <v>4.6500000000000004</v>
      </c>
      <c r="E58" s="2"/>
      <c r="G58">
        <f t="shared" si="4"/>
        <v>-7.45</v>
      </c>
      <c r="H58" s="7" t="e">
        <f t="shared" si="5"/>
        <v>#DIV/0!</v>
      </c>
      <c r="J58">
        <f t="shared" si="6"/>
        <v>63</v>
      </c>
      <c r="L58" s="8">
        <f t="shared" si="7"/>
        <v>63</v>
      </c>
    </row>
    <row r="59" spans="1:12" x14ac:dyDescent="0.35">
      <c r="A59" s="2">
        <v>58</v>
      </c>
      <c r="B59" s="2"/>
      <c r="C59" s="2" t="s">
        <v>555</v>
      </c>
      <c r="D59" s="3">
        <v>4.5</v>
      </c>
      <c r="E59" s="3">
        <v>56</v>
      </c>
      <c r="G59">
        <f t="shared" si="4"/>
        <v>12.299999999999997</v>
      </c>
      <c r="H59" s="7">
        <f t="shared" si="5"/>
        <v>0.21964285714285708</v>
      </c>
      <c r="J59">
        <f t="shared" si="6"/>
        <v>63</v>
      </c>
      <c r="L59" s="8">
        <f t="shared" si="7"/>
        <v>63</v>
      </c>
    </row>
    <row r="60" spans="1:12" x14ac:dyDescent="0.35">
      <c r="A60" s="2">
        <v>59</v>
      </c>
      <c r="B60" s="2"/>
      <c r="C60" s="2" t="s">
        <v>556</v>
      </c>
      <c r="D60" s="3">
        <v>5.95</v>
      </c>
      <c r="E60" s="3">
        <v>68</v>
      </c>
      <c r="G60">
        <f t="shared" si="4"/>
        <v>17.849999999999998</v>
      </c>
      <c r="H60" s="7">
        <f t="shared" si="5"/>
        <v>0.26249999999999996</v>
      </c>
      <c r="J60">
        <f t="shared" si="6"/>
        <v>66</v>
      </c>
      <c r="L60" s="8">
        <f t="shared" si="7"/>
        <v>68</v>
      </c>
    </row>
    <row r="61" spans="1:12" x14ac:dyDescent="0.35">
      <c r="A61" s="2">
        <v>60</v>
      </c>
      <c r="B61" s="2"/>
      <c r="C61" s="2" t="s">
        <v>557</v>
      </c>
      <c r="D61" s="3">
        <v>30.44</v>
      </c>
      <c r="E61" s="3">
        <v>85</v>
      </c>
      <c r="G61">
        <f t="shared" si="4"/>
        <v>5.2599999999999945</v>
      </c>
      <c r="H61" s="7">
        <f t="shared" si="5"/>
        <v>6.1882352941176402E-2</v>
      </c>
      <c r="J61">
        <f t="shared" si="6"/>
        <v>121</v>
      </c>
      <c r="L61" s="8">
        <f t="shared" si="7"/>
        <v>121</v>
      </c>
    </row>
    <row r="62" spans="1:12" x14ac:dyDescent="0.35">
      <c r="A62" s="2">
        <v>61</v>
      </c>
      <c r="B62" s="2"/>
      <c r="C62" s="2" t="s">
        <v>558</v>
      </c>
      <c r="D62" s="3">
        <v>30.08</v>
      </c>
      <c r="E62" s="3">
        <v>108</v>
      </c>
      <c r="G62">
        <f t="shared" si="4"/>
        <v>21.72</v>
      </c>
      <c r="H62" s="7">
        <f t="shared" si="5"/>
        <v>0.2011111111111111</v>
      </c>
      <c r="J62">
        <f t="shared" si="6"/>
        <v>120</v>
      </c>
      <c r="L62" s="8">
        <f t="shared" si="7"/>
        <v>120</v>
      </c>
    </row>
    <row r="63" spans="1:12" x14ac:dyDescent="0.35">
      <c r="A63" s="2">
        <v>62</v>
      </c>
      <c r="B63" s="2"/>
      <c r="C63" s="2" t="s">
        <v>559</v>
      </c>
      <c r="D63" s="3">
        <v>14.47</v>
      </c>
      <c r="E63" s="3">
        <v>90</v>
      </c>
      <c r="G63">
        <f t="shared" si="4"/>
        <v>24.729999999999997</v>
      </c>
      <c r="H63" s="7">
        <f t="shared" si="5"/>
        <v>0.27477777777777773</v>
      </c>
      <c r="J63">
        <f t="shared" si="6"/>
        <v>85</v>
      </c>
      <c r="L63" s="8">
        <f t="shared" si="7"/>
        <v>90</v>
      </c>
    </row>
    <row r="64" spans="1:12" x14ac:dyDescent="0.35">
      <c r="A64" s="2">
        <v>63</v>
      </c>
      <c r="B64" s="2"/>
      <c r="C64" s="2" t="s">
        <v>560</v>
      </c>
      <c r="D64" s="3">
        <v>19.510000000000002</v>
      </c>
      <c r="E64" s="3">
        <v>140</v>
      </c>
      <c r="G64">
        <f t="shared" si="4"/>
        <v>54.689999999999984</v>
      </c>
      <c r="H64" s="7">
        <f t="shared" si="5"/>
        <v>0.39064285714285701</v>
      </c>
      <c r="J64">
        <f t="shared" si="6"/>
        <v>96</v>
      </c>
      <c r="L64" s="8">
        <f t="shared" si="7"/>
        <v>140</v>
      </c>
    </row>
    <row r="65" spans="1:12" x14ac:dyDescent="0.35">
      <c r="A65" s="2">
        <v>64</v>
      </c>
      <c r="B65" s="2"/>
      <c r="C65" s="2" t="s">
        <v>561</v>
      </c>
      <c r="D65" s="3">
        <v>15.88</v>
      </c>
      <c r="E65" s="3">
        <v>150</v>
      </c>
      <c r="G65">
        <f t="shared" si="4"/>
        <v>65.319999999999993</v>
      </c>
      <c r="H65" s="7">
        <f t="shared" si="5"/>
        <v>0.43546666666666661</v>
      </c>
      <c r="J65">
        <f t="shared" si="6"/>
        <v>88</v>
      </c>
      <c r="L65" s="8">
        <f t="shared" si="7"/>
        <v>150</v>
      </c>
    </row>
    <row r="66" spans="1:12" x14ac:dyDescent="0.35">
      <c r="A66" s="2">
        <v>65</v>
      </c>
      <c r="B66" s="2"/>
      <c r="C66" s="2" t="s">
        <v>562</v>
      </c>
      <c r="D66" s="3">
        <v>42.26</v>
      </c>
      <c r="E66" s="3">
        <v>110</v>
      </c>
      <c r="G66">
        <f t="shared" ref="G66:G73" si="8">IFERROR(((E66-MIN(E66/2,30)-4)*0.7)-$D66,0)</f>
        <v>10.939999999999998</v>
      </c>
      <c r="H66" s="7">
        <f t="shared" ref="H66:H97" si="9">G66/E66</f>
        <v>9.9454545454545434E-2</v>
      </c>
      <c r="J66">
        <f t="shared" ref="J66:J73" si="10">ROUND(IF(D66&lt;=3.2,28+10*(D66),(23.8+D66)/0.45),0)</f>
        <v>147</v>
      </c>
      <c r="L66" s="8">
        <f t="shared" ref="L66:L73" si="11">MAX(J66,E66)</f>
        <v>147</v>
      </c>
    </row>
    <row r="67" spans="1:12" x14ac:dyDescent="0.35">
      <c r="A67" s="2">
        <v>66</v>
      </c>
      <c r="B67" s="2"/>
      <c r="C67" s="2" t="s">
        <v>563</v>
      </c>
      <c r="D67" s="3">
        <v>48.01</v>
      </c>
      <c r="E67" s="3">
        <v>399</v>
      </c>
      <c r="G67">
        <f t="shared" si="8"/>
        <v>207.48999999999998</v>
      </c>
      <c r="H67" s="7">
        <f t="shared" si="9"/>
        <v>0.5200250626566415</v>
      </c>
      <c r="J67">
        <f t="shared" si="10"/>
        <v>160</v>
      </c>
      <c r="L67" s="8">
        <f t="shared" si="11"/>
        <v>399</v>
      </c>
    </row>
    <row r="68" spans="1:12" x14ac:dyDescent="0.35">
      <c r="A68" s="2">
        <v>67</v>
      </c>
      <c r="B68" s="2"/>
      <c r="C68" s="2" t="s">
        <v>141</v>
      </c>
      <c r="D68" s="3">
        <v>0.81</v>
      </c>
      <c r="E68" s="3">
        <v>5</v>
      </c>
      <c r="G68">
        <f t="shared" si="8"/>
        <v>-1.8599999999999999</v>
      </c>
      <c r="H68" s="7">
        <f t="shared" si="9"/>
        <v>-0.372</v>
      </c>
      <c r="J68">
        <f t="shared" si="10"/>
        <v>36</v>
      </c>
      <c r="L68" s="8">
        <f t="shared" si="11"/>
        <v>36</v>
      </c>
    </row>
    <row r="69" spans="1:12" x14ac:dyDescent="0.35">
      <c r="A69" s="2">
        <v>68</v>
      </c>
      <c r="B69" s="2"/>
      <c r="C69" s="2" t="s">
        <v>142</v>
      </c>
      <c r="D69" s="3">
        <v>2.33</v>
      </c>
      <c r="E69" s="3">
        <v>10</v>
      </c>
      <c r="G69">
        <f t="shared" si="8"/>
        <v>-1.6300000000000001</v>
      </c>
      <c r="H69" s="7">
        <f t="shared" si="9"/>
        <v>-0.16300000000000001</v>
      </c>
      <c r="J69">
        <f t="shared" si="10"/>
        <v>51</v>
      </c>
      <c r="L69" s="8">
        <f t="shared" si="11"/>
        <v>51</v>
      </c>
    </row>
    <row r="70" spans="1:12" x14ac:dyDescent="0.35">
      <c r="A70" s="2">
        <v>69</v>
      </c>
      <c r="B70" s="2"/>
      <c r="C70" s="2" t="s">
        <v>143</v>
      </c>
      <c r="D70" s="3">
        <v>2.33</v>
      </c>
      <c r="E70" s="3">
        <v>10</v>
      </c>
      <c r="G70">
        <f t="shared" si="8"/>
        <v>-1.6300000000000001</v>
      </c>
      <c r="H70" s="7">
        <f t="shared" si="9"/>
        <v>-0.16300000000000001</v>
      </c>
      <c r="J70">
        <f t="shared" si="10"/>
        <v>51</v>
      </c>
      <c r="L70" s="8">
        <f t="shared" si="11"/>
        <v>51</v>
      </c>
    </row>
    <row r="71" spans="1:12" x14ac:dyDescent="0.35">
      <c r="A71" s="2">
        <v>70</v>
      </c>
      <c r="B71" s="2"/>
      <c r="C71" s="2" t="s">
        <v>144</v>
      </c>
      <c r="D71" s="3">
        <v>2.33</v>
      </c>
      <c r="E71" s="3">
        <v>10</v>
      </c>
      <c r="G71">
        <f t="shared" si="8"/>
        <v>-1.6300000000000001</v>
      </c>
      <c r="H71" s="7">
        <f t="shared" si="9"/>
        <v>-0.16300000000000001</v>
      </c>
      <c r="J71">
        <f t="shared" si="10"/>
        <v>51</v>
      </c>
      <c r="L71" s="8">
        <f t="shared" si="11"/>
        <v>51</v>
      </c>
    </row>
    <row r="72" spans="1:12" x14ac:dyDescent="0.35">
      <c r="A72" s="2">
        <v>71</v>
      </c>
      <c r="B72" s="2"/>
      <c r="C72" s="2" t="s">
        <v>145</v>
      </c>
      <c r="D72" s="3">
        <v>2.33</v>
      </c>
      <c r="E72" s="3">
        <v>10</v>
      </c>
      <c r="G72">
        <f t="shared" si="8"/>
        <v>-1.6300000000000001</v>
      </c>
      <c r="H72" s="7">
        <f t="shared" si="9"/>
        <v>-0.16300000000000001</v>
      </c>
      <c r="J72">
        <f t="shared" si="10"/>
        <v>51</v>
      </c>
      <c r="L72" s="8">
        <f t="shared" si="11"/>
        <v>51</v>
      </c>
    </row>
    <row r="73" spans="1:12" x14ac:dyDescent="0.35">
      <c r="A73" s="2">
        <v>72</v>
      </c>
      <c r="B73" s="2"/>
      <c r="C73" s="2" t="s">
        <v>146</v>
      </c>
      <c r="D73" s="3">
        <v>2.33</v>
      </c>
      <c r="E73" s="3">
        <v>10</v>
      </c>
      <c r="G73">
        <f t="shared" si="8"/>
        <v>-1.6300000000000001</v>
      </c>
      <c r="H73" s="7">
        <f t="shared" si="9"/>
        <v>-0.16300000000000001</v>
      </c>
      <c r="J73">
        <f t="shared" si="10"/>
        <v>51</v>
      </c>
      <c r="L73" s="8">
        <f t="shared" si="11"/>
        <v>51</v>
      </c>
    </row>
  </sheetData>
  <conditionalFormatting sqref="L2:L73">
    <cfRule type="cellIs" dxfId="3" priority="1" operator="greaterThan">
      <formula>E2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2"/>
  <sheetViews>
    <sheetView workbookViewId="0">
      <selection activeCell="G1" sqref="G1:L2"/>
    </sheetView>
  </sheetViews>
  <sheetFormatPr defaultRowHeight="14.5" x14ac:dyDescent="0.35"/>
  <cols>
    <col min="1" max="1" width="8" customWidth="1"/>
    <col min="2" max="2" width="10" customWidth="1"/>
    <col min="3" max="3" width="31" customWidth="1"/>
    <col min="4" max="4" width="13" customWidth="1"/>
    <col min="5" max="5" width="19" customWidth="1"/>
  </cols>
  <sheetData>
    <row r="1" spans="1:12" x14ac:dyDescent="0.35">
      <c r="A1" s="1" t="s">
        <v>0</v>
      </c>
      <c r="B1" s="1" t="s">
        <v>475</v>
      </c>
      <c r="C1" s="1" t="s">
        <v>219</v>
      </c>
      <c r="D1" s="1" t="s">
        <v>3</v>
      </c>
      <c r="E1" s="1" t="s">
        <v>4</v>
      </c>
      <c r="G1" s="6" t="s">
        <v>5</v>
      </c>
      <c r="H1" s="6" t="s">
        <v>6</v>
      </c>
      <c r="J1" s="5" t="s">
        <v>7</v>
      </c>
      <c r="L1" s="5" t="s">
        <v>8</v>
      </c>
    </row>
    <row r="2" spans="1:12" x14ac:dyDescent="0.35">
      <c r="A2" s="2">
        <v>1</v>
      </c>
      <c r="B2" s="2" t="s">
        <v>564</v>
      </c>
      <c r="C2" s="2" t="s">
        <v>565</v>
      </c>
      <c r="D2" s="3">
        <v>30.44</v>
      </c>
      <c r="E2" s="2">
        <v>89</v>
      </c>
      <c r="G2">
        <f>IFERROR(((E2-MIN(E2/2,30)-4)*0.7)-$D2,0)</f>
        <v>8.0599999999999987</v>
      </c>
      <c r="H2" s="7">
        <f>G2/E2</f>
        <v>9.0561797752808981E-2</v>
      </c>
      <c r="J2">
        <f>ROUND(IF(D2&lt;=3.2,28+10*(D2),(23.8+D2)/0.45),0)</f>
        <v>121</v>
      </c>
      <c r="L2" s="8">
        <f>MAX(J2,E2)</f>
        <v>121</v>
      </c>
    </row>
    <row r="3" spans="1:12" x14ac:dyDescent="0.35">
      <c r="A3" s="2">
        <v>2</v>
      </c>
      <c r="B3" s="2" t="s">
        <v>564</v>
      </c>
      <c r="C3" s="2" t="s">
        <v>566</v>
      </c>
      <c r="D3" s="3">
        <v>30.08</v>
      </c>
      <c r="E3" s="2">
        <v>113</v>
      </c>
    </row>
    <row r="4" spans="1:12" x14ac:dyDescent="0.35">
      <c r="A4" s="2">
        <v>3</v>
      </c>
      <c r="B4" s="2" t="s">
        <v>564</v>
      </c>
      <c r="C4" s="2" t="s">
        <v>567</v>
      </c>
      <c r="D4" s="3">
        <v>14.47</v>
      </c>
      <c r="E4" s="2">
        <v>95</v>
      </c>
    </row>
    <row r="5" spans="1:12" x14ac:dyDescent="0.35">
      <c r="A5" s="2">
        <v>4</v>
      </c>
      <c r="B5" s="2" t="s">
        <v>564</v>
      </c>
      <c r="C5" s="2" t="s">
        <v>568</v>
      </c>
      <c r="D5" s="3">
        <v>19.510000000000002</v>
      </c>
      <c r="E5" s="2">
        <v>147</v>
      </c>
    </row>
    <row r="6" spans="1:12" x14ac:dyDescent="0.35">
      <c r="A6" s="2">
        <v>5</v>
      </c>
      <c r="B6" s="2" t="s">
        <v>564</v>
      </c>
      <c r="C6" s="2" t="s">
        <v>569</v>
      </c>
      <c r="D6" s="3">
        <v>15.88</v>
      </c>
      <c r="E6" s="2">
        <v>158</v>
      </c>
    </row>
    <row r="7" spans="1:12" x14ac:dyDescent="0.35">
      <c r="A7" s="2">
        <v>6</v>
      </c>
      <c r="B7" s="2" t="s">
        <v>564</v>
      </c>
      <c r="C7" s="2" t="s">
        <v>570</v>
      </c>
      <c r="D7" s="3">
        <v>42.26</v>
      </c>
      <c r="E7" s="2">
        <v>116</v>
      </c>
    </row>
    <row r="8" spans="1:12" x14ac:dyDescent="0.35">
      <c r="A8" s="2">
        <v>7</v>
      </c>
      <c r="B8" s="2" t="s">
        <v>564</v>
      </c>
      <c r="C8" s="2" t="s">
        <v>571</v>
      </c>
      <c r="D8" s="3">
        <v>48.01</v>
      </c>
      <c r="E8" s="2">
        <v>419</v>
      </c>
    </row>
    <row r="9" spans="1:12" x14ac:dyDescent="0.35">
      <c r="A9" s="2">
        <v>8</v>
      </c>
      <c r="B9" s="2" t="s">
        <v>572</v>
      </c>
      <c r="C9" s="2" t="s">
        <v>557</v>
      </c>
      <c r="D9" s="3">
        <v>30.44</v>
      </c>
      <c r="E9" s="2">
        <v>85</v>
      </c>
    </row>
    <row r="10" spans="1:12" x14ac:dyDescent="0.35">
      <c r="A10" s="2">
        <v>9</v>
      </c>
      <c r="B10" s="2" t="s">
        <v>572</v>
      </c>
      <c r="C10" s="2" t="s">
        <v>558</v>
      </c>
      <c r="D10" s="3">
        <v>30.08</v>
      </c>
      <c r="E10" s="2">
        <v>108</v>
      </c>
    </row>
    <row r="11" spans="1:12" x14ac:dyDescent="0.35">
      <c r="A11" s="2">
        <v>10</v>
      </c>
      <c r="B11" s="2" t="s">
        <v>572</v>
      </c>
      <c r="C11" s="2" t="s">
        <v>559</v>
      </c>
      <c r="D11" s="3">
        <v>14.47</v>
      </c>
      <c r="E11" s="2">
        <v>90</v>
      </c>
    </row>
    <row r="12" spans="1:12" x14ac:dyDescent="0.35">
      <c r="A12" s="2">
        <v>11</v>
      </c>
      <c r="B12" s="2" t="s">
        <v>572</v>
      </c>
      <c r="C12" s="2" t="s">
        <v>560</v>
      </c>
      <c r="D12" s="3">
        <v>19.510000000000002</v>
      </c>
      <c r="E12" s="2">
        <v>140</v>
      </c>
    </row>
    <row r="13" spans="1:12" x14ac:dyDescent="0.35">
      <c r="A13" s="2">
        <v>12</v>
      </c>
      <c r="B13" s="2" t="s">
        <v>572</v>
      </c>
      <c r="C13" s="2" t="s">
        <v>561</v>
      </c>
      <c r="D13" s="3">
        <v>15.88</v>
      </c>
      <c r="E13" s="2">
        <v>150</v>
      </c>
    </row>
    <row r="14" spans="1:12" x14ac:dyDescent="0.35">
      <c r="A14" s="2">
        <v>13</v>
      </c>
      <c r="B14" s="2" t="s">
        <v>572</v>
      </c>
      <c r="C14" s="2" t="s">
        <v>562</v>
      </c>
      <c r="D14" s="3">
        <v>42.26</v>
      </c>
      <c r="E14" s="2">
        <v>110</v>
      </c>
    </row>
    <row r="15" spans="1:12" x14ac:dyDescent="0.35">
      <c r="A15" s="2">
        <v>14</v>
      </c>
      <c r="B15" s="2" t="s">
        <v>572</v>
      </c>
      <c r="C15" s="2" t="s">
        <v>563</v>
      </c>
      <c r="D15" s="3">
        <v>48.01</v>
      </c>
      <c r="E15" s="2">
        <v>399</v>
      </c>
    </row>
    <row r="16" spans="1:12" x14ac:dyDescent="0.35">
      <c r="A16" s="2">
        <v>15</v>
      </c>
      <c r="B16" s="2" t="s">
        <v>573</v>
      </c>
      <c r="C16" s="2" t="s">
        <v>574</v>
      </c>
      <c r="D16" s="3">
        <v>30.44</v>
      </c>
      <c r="E16" s="2">
        <v>85</v>
      </c>
    </row>
    <row r="17" spans="1:5" x14ac:dyDescent="0.35">
      <c r="A17" s="2">
        <v>16</v>
      </c>
      <c r="B17" s="2" t="s">
        <v>573</v>
      </c>
      <c r="C17" s="2" t="s">
        <v>575</v>
      </c>
      <c r="D17" s="3">
        <v>30.08</v>
      </c>
      <c r="E17" s="2">
        <v>108</v>
      </c>
    </row>
    <row r="18" spans="1:5" x14ac:dyDescent="0.35">
      <c r="A18" s="2">
        <v>17</v>
      </c>
      <c r="B18" s="2" t="s">
        <v>573</v>
      </c>
      <c r="C18" s="2" t="s">
        <v>576</v>
      </c>
      <c r="D18" s="3">
        <v>14.47</v>
      </c>
      <c r="E18" s="2">
        <v>90</v>
      </c>
    </row>
    <row r="19" spans="1:5" x14ac:dyDescent="0.35">
      <c r="A19" s="2">
        <v>18</v>
      </c>
      <c r="B19" s="2" t="s">
        <v>573</v>
      </c>
      <c r="C19" s="2" t="s">
        <v>577</v>
      </c>
      <c r="D19" s="3">
        <v>19.510000000000002</v>
      </c>
      <c r="E19" s="2">
        <v>140</v>
      </c>
    </row>
    <row r="20" spans="1:5" x14ac:dyDescent="0.35">
      <c r="A20" s="2">
        <v>19</v>
      </c>
      <c r="B20" s="2" t="s">
        <v>573</v>
      </c>
      <c r="C20" s="2" t="s">
        <v>578</v>
      </c>
      <c r="D20" s="3">
        <v>15.88</v>
      </c>
      <c r="E20" s="2">
        <v>150</v>
      </c>
    </row>
    <row r="21" spans="1:5" x14ac:dyDescent="0.35">
      <c r="A21" s="2">
        <v>20</v>
      </c>
      <c r="B21" s="2" t="s">
        <v>573</v>
      </c>
      <c r="C21" s="2" t="s">
        <v>579</v>
      </c>
      <c r="D21" s="3">
        <v>42.26</v>
      </c>
      <c r="E21" s="2">
        <v>110</v>
      </c>
    </row>
    <row r="22" spans="1:5" x14ac:dyDescent="0.35">
      <c r="A22" s="2">
        <v>21</v>
      </c>
      <c r="B22" s="2" t="s">
        <v>573</v>
      </c>
      <c r="C22" s="2" t="s">
        <v>580</v>
      </c>
      <c r="D22" s="3">
        <v>48.01</v>
      </c>
      <c r="E22" s="2">
        <v>399</v>
      </c>
    </row>
  </sheetData>
  <conditionalFormatting sqref="L2">
    <cfRule type="cellIs" dxfId="2" priority="1" operator="greaterThan">
      <formula>E2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3"/>
  <sheetViews>
    <sheetView workbookViewId="0">
      <selection activeCell="G1" sqref="G1:L2"/>
    </sheetView>
  </sheetViews>
  <sheetFormatPr defaultRowHeight="14.5" x14ac:dyDescent="0.35"/>
  <cols>
    <col min="1" max="1" width="8" customWidth="1"/>
    <col min="2" max="2" width="11" customWidth="1"/>
    <col min="3" max="3" width="45" customWidth="1"/>
    <col min="4" max="4" width="13" customWidth="1"/>
    <col min="5" max="5" width="19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5</v>
      </c>
      <c r="H1" s="6" t="s">
        <v>6</v>
      </c>
      <c r="J1" s="5" t="s">
        <v>7</v>
      </c>
      <c r="L1" s="5" t="s">
        <v>8</v>
      </c>
    </row>
    <row r="2" spans="1:12" x14ac:dyDescent="0.35">
      <c r="A2" s="2">
        <v>1</v>
      </c>
      <c r="B2" s="2"/>
      <c r="C2" s="2" t="s">
        <v>581</v>
      </c>
      <c r="D2" s="3">
        <v>8.84</v>
      </c>
      <c r="E2" s="3">
        <v>67</v>
      </c>
      <c r="G2">
        <f>IFERROR(((E2-MIN(E2/2,30)-4)*0.7)-$D2,0)</f>
        <v>14.259999999999998</v>
      </c>
      <c r="H2" s="7">
        <f>G2/E2</f>
        <v>0.21283582089552236</v>
      </c>
      <c r="J2">
        <f>ROUND(IF(D2&lt;=3.2,28+10*(D2),(23.8+D2)/0.45),0)</f>
        <v>73</v>
      </c>
      <c r="L2" s="8">
        <f>MAX(J2,E2)</f>
        <v>73</v>
      </c>
    </row>
    <row r="3" spans="1:12" x14ac:dyDescent="0.35">
      <c r="A3" s="2">
        <v>2</v>
      </c>
      <c r="B3" s="2"/>
      <c r="C3" s="2" t="s">
        <v>582</v>
      </c>
      <c r="D3" s="3">
        <v>5.84</v>
      </c>
      <c r="E3" s="3">
        <v>78</v>
      </c>
    </row>
    <row r="4" spans="1:12" x14ac:dyDescent="0.35">
      <c r="A4" s="2">
        <v>3</v>
      </c>
      <c r="B4" s="2"/>
      <c r="C4" s="2" t="s">
        <v>583</v>
      </c>
      <c r="D4" s="3">
        <v>5.27</v>
      </c>
      <c r="E4" s="3">
        <v>78</v>
      </c>
    </row>
    <row r="5" spans="1:12" x14ac:dyDescent="0.35">
      <c r="A5" s="2">
        <v>4</v>
      </c>
      <c r="B5" s="2"/>
      <c r="C5" s="2" t="s">
        <v>584</v>
      </c>
      <c r="D5" s="3">
        <v>7.34</v>
      </c>
      <c r="E5" s="3">
        <v>67</v>
      </c>
    </row>
    <row r="6" spans="1:12" x14ac:dyDescent="0.35">
      <c r="A6" s="2">
        <v>5</v>
      </c>
      <c r="B6" s="2"/>
      <c r="C6" s="2" t="s">
        <v>585</v>
      </c>
      <c r="D6" s="3">
        <v>8.1</v>
      </c>
      <c r="E6" s="3">
        <v>67</v>
      </c>
    </row>
    <row r="7" spans="1:12" x14ac:dyDescent="0.35">
      <c r="A7" s="2">
        <v>6</v>
      </c>
      <c r="B7" s="2"/>
      <c r="C7" s="2" t="s">
        <v>586</v>
      </c>
      <c r="D7" s="3">
        <v>7.16</v>
      </c>
      <c r="E7" s="3">
        <v>67</v>
      </c>
    </row>
    <row r="8" spans="1:12" x14ac:dyDescent="0.35">
      <c r="A8" s="2">
        <v>7</v>
      </c>
      <c r="B8" s="2"/>
      <c r="C8" s="2" t="s">
        <v>587</v>
      </c>
      <c r="D8" s="3">
        <v>9.07</v>
      </c>
      <c r="E8" s="3">
        <v>52</v>
      </c>
    </row>
    <row r="9" spans="1:12" x14ac:dyDescent="0.35">
      <c r="A9" s="2">
        <v>8</v>
      </c>
      <c r="B9" s="2"/>
      <c r="C9" s="2" t="s">
        <v>588</v>
      </c>
      <c r="D9" s="3">
        <v>5.23</v>
      </c>
      <c r="E9" s="2"/>
    </row>
    <row r="10" spans="1:12" x14ac:dyDescent="0.35">
      <c r="A10" s="2">
        <v>9</v>
      </c>
      <c r="B10" s="2"/>
      <c r="C10" s="2" t="s">
        <v>589</v>
      </c>
      <c r="D10" s="3">
        <v>5.59</v>
      </c>
      <c r="E10" s="3">
        <v>47</v>
      </c>
    </row>
    <row r="11" spans="1:12" x14ac:dyDescent="0.35">
      <c r="A11" s="2">
        <v>10</v>
      </c>
      <c r="B11" s="2"/>
      <c r="C11" s="2" t="s">
        <v>590</v>
      </c>
      <c r="D11" s="3">
        <v>7.29</v>
      </c>
      <c r="E11" s="3">
        <v>75</v>
      </c>
    </row>
    <row r="12" spans="1:12" x14ac:dyDescent="0.35">
      <c r="A12" s="2">
        <v>11</v>
      </c>
      <c r="B12" s="2"/>
      <c r="C12" s="2" t="s">
        <v>591</v>
      </c>
      <c r="D12" s="3">
        <v>8.89</v>
      </c>
      <c r="E12" s="3">
        <v>82</v>
      </c>
    </row>
    <row r="13" spans="1:12" x14ac:dyDescent="0.35">
      <c r="A13" s="2">
        <v>12</v>
      </c>
      <c r="B13" s="2"/>
      <c r="C13" s="2" t="s">
        <v>592</v>
      </c>
      <c r="D13" s="3">
        <v>10.76</v>
      </c>
      <c r="E13" s="3">
        <v>89</v>
      </c>
    </row>
    <row r="14" spans="1:12" x14ac:dyDescent="0.35">
      <c r="A14" s="2">
        <v>13</v>
      </c>
      <c r="B14" s="2"/>
      <c r="C14" s="2" t="s">
        <v>593</v>
      </c>
      <c r="D14" s="3">
        <v>5.1100000000000003</v>
      </c>
      <c r="E14" s="3">
        <v>65</v>
      </c>
    </row>
    <row r="15" spans="1:12" x14ac:dyDescent="0.35">
      <c r="A15" s="2">
        <v>14</v>
      </c>
      <c r="B15" s="2"/>
      <c r="C15" s="2" t="s">
        <v>594</v>
      </c>
      <c r="D15" s="3">
        <v>5.77</v>
      </c>
      <c r="E15" s="3">
        <v>65</v>
      </c>
    </row>
    <row r="16" spans="1:12" x14ac:dyDescent="0.35">
      <c r="A16" s="2">
        <v>15</v>
      </c>
      <c r="B16" s="2"/>
      <c r="C16" s="2" t="s">
        <v>513</v>
      </c>
      <c r="D16" s="3">
        <v>9.09</v>
      </c>
      <c r="E16" s="3">
        <v>72</v>
      </c>
    </row>
    <row r="17" spans="1:5" x14ac:dyDescent="0.35">
      <c r="A17" s="2">
        <v>16</v>
      </c>
      <c r="B17" s="2"/>
      <c r="C17" s="2" t="s">
        <v>514</v>
      </c>
      <c r="D17" s="3">
        <v>6.64</v>
      </c>
      <c r="E17" s="3">
        <v>82</v>
      </c>
    </row>
    <row r="18" spans="1:5" x14ac:dyDescent="0.35">
      <c r="A18" s="2">
        <v>17</v>
      </c>
      <c r="B18" s="2"/>
      <c r="C18" s="2" t="s">
        <v>595</v>
      </c>
      <c r="D18" s="3">
        <v>5.95</v>
      </c>
      <c r="E18" s="3">
        <v>42</v>
      </c>
    </row>
    <row r="19" spans="1:5" x14ac:dyDescent="0.35">
      <c r="A19" s="2">
        <v>18</v>
      </c>
      <c r="B19" s="2"/>
      <c r="C19" s="2" t="s">
        <v>596</v>
      </c>
      <c r="D19" s="3">
        <v>3.39</v>
      </c>
      <c r="E19" s="3">
        <v>45</v>
      </c>
    </row>
    <row r="20" spans="1:5" x14ac:dyDescent="0.35">
      <c r="A20" s="2">
        <v>19</v>
      </c>
      <c r="B20" s="2"/>
      <c r="C20" s="2" t="s">
        <v>515</v>
      </c>
      <c r="D20" s="3">
        <v>7.98</v>
      </c>
      <c r="E20" s="3">
        <v>43</v>
      </c>
    </row>
    <row r="21" spans="1:5" x14ac:dyDescent="0.35">
      <c r="A21" s="2">
        <v>20</v>
      </c>
      <c r="B21" s="2"/>
      <c r="C21" s="2" t="s">
        <v>516</v>
      </c>
      <c r="D21" s="3">
        <v>5.78</v>
      </c>
      <c r="E21" s="3">
        <v>63</v>
      </c>
    </row>
    <row r="22" spans="1:5" x14ac:dyDescent="0.35">
      <c r="A22" s="2">
        <v>21</v>
      </c>
      <c r="B22" s="2"/>
      <c r="C22" s="2" t="s">
        <v>518</v>
      </c>
      <c r="D22" s="3">
        <v>8.69</v>
      </c>
      <c r="E22" s="3">
        <v>37</v>
      </c>
    </row>
    <row r="23" spans="1:5" x14ac:dyDescent="0.35">
      <c r="A23" s="2">
        <v>22</v>
      </c>
      <c r="B23" s="2"/>
      <c r="C23" s="2" t="s">
        <v>517</v>
      </c>
      <c r="D23" s="3">
        <v>3.66</v>
      </c>
      <c r="E23" s="3">
        <v>28</v>
      </c>
    </row>
    <row r="24" spans="1:5" x14ac:dyDescent="0.35">
      <c r="A24" s="2">
        <v>23</v>
      </c>
      <c r="B24" s="2"/>
      <c r="C24" s="2" t="s">
        <v>512</v>
      </c>
      <c r="D24" s="3">
        <v>1.71</v>
      </c>
      <c r="E24" s="3">
        <v>35</v>
      </c>
    </row>
    <row r="25" spans="1:5" x14ac:dyDescent="0.35">
      <c r="A25" s="2">
        <v>24</v>
      </c>
      <c r="B25" s="2"/>
      <c r="C25" s="2" t="s">
        <v>509</v>
      </c>
      <c r="D25" s="3">
        <v>3.78</v>
      </c>
      <c r="E25" s="3">
        <v>36</v>
      </c>
    </row>
    <row r="26" spans="1:5" x14ac:dyDescent="0.35">
      <c r="A26" s="2">
        <v>25</v>
      </c>
      <c r="B26" s="2"/>
      <c r="C26" s="2" t="s">
        <v>511</v>
      </c>
      <c r="D26" s="3">
        <v>4.29</v>
      </c>
      <c r="E26" s="3">
        <v>39</v>
      </c>
    </row>
    <row r="27" spans="1:5" x14ac:dyDescent="0.35">
      <c r="A27" s="2">
        <v>26</v>
      </c>
      <c r="B27" s="2"/>
      <c r="C27" s="2" t="s">
        <v>510</v>
      </c>
      <c r="D27" s="3">
        <v>7.01</v>
      </c>
      <c r="E27" s="3">
        <v>49</v>
      </c>
    </row>
    <row r="28" spans="1:5" x14ac:dyDescent="0.35">
      <c r="A28" s="2">
        <v>27</v>
      </c>
      <c r="B28" s="2"/>
      <c r="C28" s="2" t="s">
        <v>505</v>
      </c>
      <c r="D28" s="3">
        <v>3.06</v>
      </c>
      <c r="E28" s="3">
        <v>21</v>
      </c>
    </row>
    <row r="29" spans="1:5" x14ac:dyDescent="0.35">
      <c r="A29" s="2">
        <v>28</v>
      </c>
      <c r="B29" s="2"/>
      <c r="C29" s="2" t="s">
        <v>504</v>
      </c>
      <c r="D29" s="3">
        <v>3.57</v>
      </c>
      <c r="E29" s="3">
        <v>22</v>
      </c>
    </row>
    <row r="30" spans="1:5" x14ac:dyDescent="0.35">
      <c r="A30" s="2">
        <v>29</v>
      </c>
      <c r="B30" s="2"/>
      <c r="C30" s="2" t="s">
        <v>111</v>
      </c>
      <c r="D30" s="3">
        <v>4.66</v>
      </c>
      <c r="E30" s="3">
        <v>37</v>
      </c>
    </row>
    <row r="31" spans="1:5" x14ac:dyDescent="0.35">
      <c r="A31" s="2">
        <v>30</v>
      </c>
      <c r="B31" s="2"/>
      <c r="C31" s="2" t="s">
        <v>498</v>
      </c>
      <c r="D31" s="3">
        <v>4.38</v>
      </c>
      <c r="E31" s="3">
        <v>37</v>
      </c>
    </row>
    <row r="32" spans="1:5" x14ac:dyDescent="0.35">
      <c r="A32" s="2">
        <v>31</v>
      </c>
      <c r="B32" s="2"/>
      <c r="C32" s="2" t="s">
        <v>597</v>
      </c>
      <c r="D32" s="3">
        <v>2.1800000000000002</v>
      </c>
      <c r="E32" s="3">
        <v>32</v>
      </c>
    </row>
    <row r="33" spans="1:5" x14ac:dyDescent="0.35">
      <c r="A33" s="2">
        <v>32</v>
      </c>
      <c r="B33" s="2"/>
      <c r="C33" s="2" t="s">
        <v>153</v>
      </c>
      <c r="D33" s="3">
        <v>5.09</v>
      </c>
      <c r="E33" s="3">
        <v>42</v>
      </c>
    </row>
    <row r="34" spans="1:5" x14ac:dyDescent="0.35">
      <c r="A34" s="2">
        <v>33</v>
      </c>
      <c r="B34" s="2"/>
      <c r="C34" s="2" t="s">
        <v>499</v>
      </c>
      <c r="D34" s="3">
        <v>5.28</v>
      </c>
      <c r="E34" s="3">
        <v>43</v>
      </c>
    </row>
    <row r="35" spans="1:5" x14ac:dyDescent="0.35">
      <c r="A35" s="2">
        <v>34</v>
      </c>
      <c r="B35" s="2"/>
      <c r="C35" s="2" t="s">
        <v>501</v>
      </c>
      <c r="D35" s="3">
        <v>3.92</v>
      </c>
      <c r="E35" s="3">
        <v>42</v>
      </c>
    </row>
    <row r="36" spans="1:5" x14ac:dyDescent="0.35">
      <c r="A36" s="2">
        <v>35</v>
      </c>
      <c r="B36" s="2"/>
      <c r="C36" s="2" t="s">
        <v>503</v>
      </c>
      <c r="D36" s="3">
        <v>3.32</v>
      </c>
      <c r="E36" s="3">
        <v>32</v>
      </c>
    </row>
    <row r="37" spans="1:5" x14ac:dyDescent="0.35">
      <c r="A37" s="2">
        <v>36</v>
      </c>
      <c r="B37" s="2"/>
      <c r="C37" s="2" t="s">
        <v>506</v>
      </c>
      <c r="D37" s="3">
        <v>4.95</v>
      </c>
      <c r="E37" s="3">
        <v>36</v>
      </c>
    </row>
    <row r="38" spans="1:5" x14ac:dyDescent="0.35">
      <c r="A38" s="2">
        <v>37</v>
      </c>
      <c r="B38" s="2"/>
      <c r="C38" s="2" t="s">
        <v>598</v>
      </c>
      <c r="D38" s="3">
        <v>16.190000000000001</v>
      </c>
      <c r="E38" s="3">
        <v>30</v>
      </c>
    </row>
    <row r="39" spans="1:5" x14ac:dyDescent="0.35">
      <c r="A39" s="2">
        <v>38</v>
      </c>
      <c r="B39" s="2"/>
      <c r="C39" s="2" t="s">
        <v>97</v>
      </c>
      <c r="D39" s="3">
        <v>4.51</v>
      </c>
      <c r="E39" s="3">
        <v>33</v>
      </c>
    </row>
    <row r="40" spans="1:5" x14ac:dyDescent="0.35">
      <c r="A40" s="2">
        <v>39</v>
      </c>
      <c r="B40" s="2"/>
      <c r="C40" s="2" t="s">
        <v>98</v>
      </c>
      <c r="D40" s="3">
        <v>16.350000000000001</v>
      </c>
      <c r="E40" s="3">
        <v>33</v>
      </c>
    </row>
    <row r="41" spans="1:5" x14ac:dyDescent="0.35">
      <c r="A41" s="2">
        <v>40</v>
      </c>
      <c r="B41" s="2"/>
      <c r="C41" s="2" t="s">
        <v>99</v>
      </c>
      <c r="D41" s="3">
        <v>16.45</v>
      </c>
      <c r="E41" s="3">
        <v>33</v>
      </c>
    </row>
    <row r="42" spans="1:5" x14ac:dyDescent="0.35">
      <c r="A42" s="2">
        <v>41</v>
      </c>
      <c r="B42" s="2"/>
      <c r="C42" s="2" t="s">
        <v>100</v>
      </c>
      <c r="D42" s="3">
        <v>4.13</v>
      </c>
      <c r="E42" s="3">
        <v>33</v>
      </c>
    </row>
    <row r="43" spans="1:5" x14ac:dyDescent="0.35">
      <c r="A43" s="2">
        <v>42</v>
      </c>
      <c r="B43" s="2"/>
      <c r="C43" s="2" t="s">
        <v>101</v>
      </c>
      <c r="D43" s="3">
        <v>4.08</v>
      </c>
      <c r="E43" s="3">
        <v>33</v>
      </c>
    </row>
    <row r="44" spans="1:5" x14ac:dyDescent="0.35">
      <c r="A44" s="2">
        <v>43</v>
      </c>
      <c r="B44" s="2"/>
      <c r="C44" s="2" t="s">
        <v>599</v>
      </c>
      <c r="D44" s="3">
        <v>12.51</v>
      </c>
      <c r="E44" s="3">
        <v>99</v>
      </c>
    </row>
    <row r="45" spans="1:5" x14ac:dyDescent="0.35">
      <c r="A45" s="2">
        <v>44</v>
      </c>
      <c r="B45" s="2"/>
      <c r="C45" s="2" t="s">
        <v>600</v>
      </c>
      <c r="D45" s="3">
        <v>11.9</v>
      </c>
      <c r="E45" s="3">
        <v>79</v>
      </c>
    </row>
    <row r="46" spans="1:5" x14ac:dyDescent="0.35">
      <c r="A46" s="2">
        <v>45</v>
      </c>
      <c r="B46" s="2"/>
      <c r="C46" s="2" t="s">
        <v>601</v>
      </c>
      <c r="D46" s="3">
        <v>18.36</v>
      </c>
      <c r="E46" s="3">
        <v>169</v>
      </c>
    </row>
    <row r="47" spans="1:5" x14ac:dyDescent="0.35">
      <c r="A47" s="2">
        <v>46</v>
      </c>
      <c r="B47" s="2"/>
      <c r="C47" s="2" t="s">
        <v>602</v>
      </c>
      <c r="D47" s="3">
        <v>55.45</v>
      </c>
      <c r="E47" s="3">
        <v>195</v>
      </c>
    </row>
    <row r="48" spans="1:5" x14ac:dyDescent="0.35">
      <c r="A48" s="2">
        <v>47</v>
      </c>
      <c r="B48" s="2"/>
      <c r="C48" s="2" t="s">
        <v>141</v>
      </c>
      <c r="D48" s="3">
        <v>0.88</v>
      </c>
      <c r="E48" s="3">
        <v>5</v>
      </c>
    </row>
    <row r="49" spans="1:5" x14ac:dyDescent="0.35">
      <c r="A49" s="2">
        <v>48</v>
      </c>
      <c r="B49" s="2"/>
      <c r="C49" s="2" t="s">
        <v>603</v>
      </c>
      <c r="D49" s="3">
        <v>3.92</v>
      </c>
      <c r="E49" s="3">
        <v>8</v>
      </c>
    </row>
    <row r="50" spans="1:5" x14ac:dyDescent="0.35">
      <c r="A50" s="2">
        <v>49</v>
      </c>
      <c r="B50" s="2"/>
      <c r="C50" s="2" t="s">
        <v>604</v>
      </c>
      <c r="D50" s="3">
        <v>3.92</v>
      </c>
      <c r="E50" s="3">
        <v>8</v>
      </c>
    </row>
    <row r="51" spans="1:5" x14ac:dyDescent="0.35">
      <c r="A51" s="2">
        <v>50</v>
      </c>
      <c r="B51" s="2"/>
      <c r="C51" s="2" t="s">
        <v>146</v>
      </c>
      <c r="D51" s="3">
        <v>3.92</v>
      </c>
      <c r="E51" s="3">
        <v>8</v>
      </c>
    </row>
    <row r="52" spans="1:5" x14ac:dyDescent="0.35">
      <c r="A52" s="2">
        <v>51</v>
      </c>
      <c r="B52" s="2"/>
      <c r="C52" s="2" t="s">
        <v>144</v>
      </c>
      <c r="D52" s="3">
        <v>3.92</v>
      </c>
      <c r="E52" s="3">
        <v>8</v>
      </c>
    </row>
    <row r="53" spans="1:5" x14ac:dyDescent="0.35">
      <c r="A53" s="2">
        <v>52</v>
      </c>
      <c r="B53" s="2"/>
      <c r="C53" s="2" t="s">
        <v>145</v>
      </c>
      <c r="D53" s="3">
        <v>3.92</v>
      </c>
      <c r="E53" s="3">
        <v>8</v>
      </c>
    </row>
  </sheetData>
  <conditionalFormatting sqref="L2">
    <cfRule type="cellIs" dxfId="1" priority="1" operator="greaterThan">
      <formula>E2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0"/>
  <sheetViews>
    <sheetView workbookViewId="0">
      <selection activeCell="F1" sqref="F1"/>
    </sheetView>
  </sheetViews>
  <sheetFormatPr defaultRowHeight="14.5" x14ac:dyDescent="0.35"/>
  <cols>
    <col min="1" max="1" width="8" customWidth="1"/>
    <col min="2" max="2" width="22" customWidth="1"/>
    <col min="3" max="3" width="31" customWidth="1"/>
    <col min="4" max="4" width="1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605</v>
      </c>
      <c r="C2" s="2" t="s">
        <v>606</v>
      </c>
      <c r="D2" s="3">
        <v>1.72</v>
      </c>
    </row>
    <row r="3" spans="1:4" x14ac:dyDescent="0.35">
      <c r="A3" s="2">
        <v>2</v>
      </c>
      <c r="B3" s="2" t="s">
        <v>605</v>
      </c>
      <c r="C3" s="2" t="s">
        <v>607</v>
      </c>
      <c r="D3" s="3">
        <v>1.95</v>
      </c>
    </row>
    <row r="4" spans="1:4" x14ac:dyDescent="0.35">
      <c r="A4" s="2">
        <v>3</v>
      </c>
      <c r="B4" s="2" t="s">
        <v>605</v>
      </c>
      <c r="C4" s="2" t="s">
        <v>608</v>
      </c>
      <c r="D4" s="3">
        <v>0.99</v>
      </c>
    </row>
    <row r="5" spans="1:4" x14ac:dyDescent="0.35">
      <c r="A5" s="2">
        <v>4</v>
      </c>
      <c r="B5" s="2" t="s">
        <v>605</v>
      </c>
      <c r="C5" s="2" t="s">
        <v>609</v>
      </c>
      <c r="D5" s="3">
        <v>0.8</v>
      </c>
    </row>
    <row r="6" spans="1:4" x14ac:dyDescent="0.35">
      <c r="A6" s="2">
        <v>5</v>
      </c>
      <c r="B6" s="2" t="s">
        <v>605</v>
      </c>
      <c r="C6" s="2" t="s">
        <v>610</v>
      </c>
      <c r="D6" s="3">
        <v>1.1200000000000001</v>
      </c>
    </row>
    <row r="7" spans="1:4" x14ac:dyDescent="0.35">
      <c r="A7" s="2">
        <v>6</v>
      </c>
      <c r="B7" s="2" t="s">
        <v>605</v>
      </c>
      <c r="C7" s="2" t="s">
        <v>611</v>
      </c>
      <c r="D7" s="3">
        <v>0.69</v>
      </c>
    </row>
    <row r="8" spans="1:4" x14ac:dyDescent="0.35">
      <c r="A8" s="2">
        <v>7</v>
      </c>
      <c r="B8" s="2" t="s">
        <v>605</v>
      </c>
      <c r="C8" s="2" t="s">
        <v>612</v>
      </c>
      <c r="D8" s="3">
        <v>0.5</v>
      </c>
    </row>
    <row r="9" spans="1:4" x14ac:dyDescent="0.35">
      <c r="A9" s="2">
        <v>8</v>
      </c>
      <c r="B9" s="2" t="s">
        <v>613</v>
      </c>
      <c r="C9" s="2" t="s">
        <v>614</v>
      </c>
      <c r="D9" s="3">
        <v>1.91</v>
      </c>
    </row>
    <row r="10" spans="1:4" x14ac:dyDescent="0.35">
      <c r="A10" s="2">
        <v>9</v>
      </c>
      <c r="B10" s="2" t="s">
        <v>613</v>
      </c>
      <c r="C10" s="2" t="s">
        <v>615</v>
      </c>
      <c r="D10" s="3">
        <v>1.23</v>
      </c>
    </row>
    <row r="11" spans="1:4" x14ac:dyDescent="0.35">
      <c r="A11" s="2">
        <v>10</v>
      </c>
      <c r="B11" s="2" t="s">
        <v>613</v>
      </c>
      <c r="C11" s="2" t="s">
        <v>616</v>
      </c>
      <c r="D11" s="3">
        <v>0.99</v>
      </c>
    </row>
    <row r="12" spans="1:4" x14ac:dyDescent="0.35">
      <c r="A12" s="2">
        <v>11</v>
      </c>
      <c r="B12" s="2" t="s">
        <v>613</v>
      </c>
      <c r="C12" s="2" t="s">
        <v>617</v>
      </c>
      <c r="D12" s="3">
        <v>1.79</v>
      </c>
    </row>
    <row r="13" spans="1:4" x14ac:dyDescent="0.35">
      <c r="A13" s="2">
        <v>12</v>
      </c>
      <c r="B13" s="2" t="s">
        <v>613</v>
      </c>
      <c r="C13" s="2" t="s">
        <v>618</v>
      </c>
      <c r="D13" s="3">
        <v>1.54</v>
      </c>
    </row>
    <row r="14" spans="1:4" x14ac:dyDescent="0.35">
      <c r="A14" s="2">
        <v>13</v>
      </c>
      <c r="B14" s="2" t="s">
        <v>613</v>
      </c>
      <c r="C14" s="2" t="s">
        <v>619</v>
      </c>
      <c r="D14" s="3">
        <v>1.27</v>
      </c>
    </row>
    <row r="15" spans="1:4" x14ac:dyDescent="0.35">
      <c r="A15" s="2">
        <v>14</v>
      </c>
      <c r="B15" s="2" t="s">
        <v>613</v>
      </c>
      <c r="C15" s="2" t="s">
        <v>509</v>
      </c>
      <c r="D15" s="3">
        <v>3.71</v>
      </c>
    </row>
    <row r="16" spans="1:4" x14ac:dyDescent="0.35">
      <c r="A16" s="2">
        <v>15</v>
      </c>
      <c r="B16" s="2" t="s">
        <v>620</v>
      </c>
      <c r="C16" s="2" t="s">
        <v>621</v>
      </c>
      <c r="D16" s="3">
        <v>4.24</v>
      </c>
    </row>
    <row r="17" spans="1:4" x14ac:dyDescent="0.35">
      <c r="A17" s="2">
        <v>16</v>
      </c>
      <c r="B17" s="2" t="s">
        <v>620</v>
      </c>
      <c r="C17" s="2" t="s">
        <v>622</v>
      </c>
      <c r="D17" s="3">
        <v>3.63</v>
      </c>
    </row>
    <row r="18" spans="1:4" x14ac:dyDescent="0.35">
      <c r="A18" s="2">
        <v>17</v>
      </c>
      <c r="B18" s="2" t="s">
        <v>620</v>
      </c>
      <c r="C18" s="2" t="s">
        <v>623</v>
      </c>
      <c r="D18" s="3">
        <v>3.49</v>
      </c>
    </row>
    <row r="19" spans="1:4" x14ac:dyDescent="0.35">
      <c r="A19" s="2">
        <v>18</v>
      </c>
      <c r="B19" s="2" t="s">
        <v>620</v>
      </c>
      <c r="C19" s="2" t="s">
        <v>624</v>
      </c>
      <c r="D19" s="3">
        <v>5.79</v>
      </c>
    </row>
    <row r="20" spans="1:4" x14ac:dyDescent="0.35">
      <c r="A20" s="2">
        <v>19</v>
      </c>
      <c r="B20" s="2" t="s">
        <v>620</v>
      </c>
      <c r="C20" s="2" t="s">
        <v>111</v>
      </c>
      <c r="D20" s="3">
        <v>5.35</v>
      </c>
    </row>
    <row r="21" spans="1:4" x14ac:dyDescent="0.35">
      <c r="A21" s="2">
        <v>20</v>
      </c>
      <c r="B21" s="2" t="s">
        <v>620</v>
      </c>
      <c r="C21" s="2" t="s">
        <v>625</v>
      </c>
      <c r="D21" s="3">
        <v>3.3</v>
      </c>
    </row>
    <row r="22" spans="1:4" x14ac:dyDescent="0.35">
      <c r="A22" s="2">
        <v>21</v>
      </c>
      <c r="B22" s="2" t="s">
        <v>620</v>
      </c>
      <c r="C22" s="2" t="s">
        <v>626</v>
      </c>
      <c r="D22" s="3">
        <v>3.14</v>
      </c>
    </row>
    <row r="23" spans="1:4" x14ac:dyDescent="0.35">
      <c r="A23" s="2">
        <v>22</v>
      </c>
      <c r="B23" s="2" t="s">
        <v>620</v>
      </c>
      <c r="C23" s="2" t="s">
        <v>627</v>
      </c>
      <c r="D23" s="3">
        <v>3.19</v>
      </c>
    </row>
    <row r="24" spans="1:4" x14ac:dyDescent="0.35">
      <c r="A24" s="2">
        <v>23</v>
      </c>
      <c r="B24" s="2" t="s">
        <v>620</v>
      </c>
      <c r="C24" s="2" t="s">
        <v>628</v>
      </c>
      <c r="D24" s="3">
        <v>3.61</v>
      </c>
    </row>
    <row r="25" spans="1:4" x14ac:dyDescent="0.35">
      <c r="A25" s="2">
        <v>24</v>
      </c>
      <c r="B25" s="2" t="s">
        <v>620</v>
      </c>
      <c r="C25" s="2" t="s">
        <v>629</v>
      </c>
      <c r="D25" s="3">
        <v>3.33</v>
      </c>
    </row>
    <row r="26" spans="1:4" x14ac:dyDescent="0.35">
      <c r="A26" s="2">
        <v>25</v>
      </c>
      <c r="B26" s="2" t="s">
        <v>620</v>
      </c>
      <c r="C26" s="2" t="s">
        <v>630</v>
      </c>
      <c r="D26" s="3">
        <v>3.2</v>
      </c>
    </row>
    <row r="27" spans="1:4" x14ac:dyDescent="0.35">
      <c r="A27" s="2">
        <v>26</v>
      </c>
      <c r="B27" s="2" t="s">
        <v>620</v>
      </c>
      <c r="C27" s="2" t="s">
        <v>631</v>
      </c>
      <c r="D27" s="3">
        <v>3.84</v>
      </c>
    </row>
    <row r="28" spans="1:4" x14ac:dyDescent="0.35">
      <c r="A28" s="2">
        <v>27</v>
      </c>
      <c r="B28" s="2" t="s">
        <v>620</v>
      </c>
      <c r="C28" s="2" t="s">
        <v>632</v>
      </c>
      <c r="D28" s="3">
        <v>5.35</v>
      </c>
    </row>
    <row r="29" spans="1:4" x14ac:dyDescent="0.35">
      <c r="A29" s="2">
        <v>28</v>
      </c>
      <c r="B29" s="2" t="s">
        <v>620</v>
      </c>
      <c r="C29" s="2" t="s">
        <v>633</v>
      </c>
      <c r="D29" s="3">
        <v>5.01</v>
      </c>
    </row>
    <row r="30" spans="1:4" x14ac:dyDescent="0.35">
      <c r="A30" s="2">
        <v>29</v>
      </c>
      <c r="B30" s="2" t="s">
        <v>620</v>
      </c>
      <c r="C30" s="2" t="s">
        <v>634</v>
      </c>
      <c r="D30" s="3">
        <v>4.8600000000000003</v>
      </c>
    </row>
    <row r="31" spans="1:4" x14ac:dyDescent="0.35">
      <c r="A31" s="2">
        <v>30</v>
      </c>
      <c r="B31" s="2" t="s">
        <v>620</v>
      </c>
      <c r="C31" s="2" t="s">
        <v>635</v>
      </c>
      <c r="D31" s="3">
        <v>5.0999999999999996</v>
      </c>
    </row>
    <row r="32" spans="1:4" x14ac:dyDescent="0.35">
      <c r="A32" s="2">
        <v>31</v>
      </c>
      <c r="B32" s="2" t="s">
        <v>620</v>
      </c>
      <c r="C32" s="2" t="s">
        <v>636</v>
      </c>
      <c r="D32" s="3">
        <v>4.21</v>
      </c>
    </row>
    <row r="33" spans="1:4" x14ac:dyDescent="0.35">
      <c r="A33" s="2">
        <v>32</v>
      </c>
      <c r="B33" s="2" t="s">
        <v>620</v>
      </c>
      <c r="C33" s="2" t="s">
        <v>637</v>
      </c>
      <c r="D33" s="3">
        <v>10.23</v>
      </c>
    </row>
    <row r="34" spans="1:4" x14ac:dyDescent="0.35">
      <c r="A34" s="2">
        <v>33</v>
      </c>
      <c r="B34" s="2" t="s">
        <v>620</v>
      </c>
      <c r="C34" s="2" t="s">
        <v>638</v>
      </c>
      <c r="D34" s="3">
        <v>4.04</v>
      </c>
    </row>
    <row r="35" spans="1:4" x14ac:dyDescent="0.35">
      <c r="A35" s="2">
        <v>34</v>
      </c>
      <c r="B35" s="2" t="s">
        <v>620</v>
      </c>
      <c r="C35" s="2" t="s">
        <v>639</v>
      </c>
      <c r="D35" s="3">
        <v>3.22</v>
      </c>
    </row>
    <row r="36" spans="1:4" x14ac:dyDescent="0.35">
      <c r="A36" s="2">
        <v>35</v>
      </c>
      <c r="B36" s="2" t="s">
        <v>620</v>
      </c>
      <c r="C36" s="2" t="s">
        <v>640</v>
      </c>
      <c r="D36" s="3">
        <v>8.32</v>
      </c>
    </row>
    <row r="37" spans="1:4" x14ac:dyDescent="0.35">
      <c r="A37" s="2">
        <v>36</v>
      </c>
      <c r="B37" s="2" t="s">
        <v>620</v>
      </c>
      <c r="C37" s="2" t="s">
        <v>641</v>
      </c>
      <c r="D37" s="3">
        <v>8.56</v>
      </c>
    </row>
    <row r="38" spans="1:4" x14ac:dyDescent="0.35">
      <c r="A38" s="2">
        <v>37</v>
      </c>
      <c r="B38" s="2" t="s">
        <v>620</v>
      </c>
      <c r="C38" s="2" t="s">
        <v>642</v>
      </c>
      <c r="D38" s="3">
        <v>8.85</v>
      </c>
    </row>
    <row r="39" spans="1:4" x14ac:dyDescent="0.35">
      <c r="A39" s="2">
        <v>38</v>
      </c>
      <c r="B39" s="2" t="s">
        <v>620</v>
      </c>
      <c r="C39" s="2" t="s">
        <v>643</v>
      </c>
      <c r="D39" s="3">
        <v>8.5500000000000007</v>
      </c>
    </row>
    <row r="40" spans="1:4" x14ac:dyDescent="0.35">
      <c r="A40" s="2">
        <v>39</v>
      </c>
      <c r="B40" s="2" t="s">
        <v>620</v>
      </c>
      <c r="C40" s="2" t="s">
        <v>153</v>
      </c>
      <c r="D40" s="3">
        <v>6.21</v>
      </c>
    </row>
    <row r="41" spans="1:4" x14ac:dyDescent="0.35">
      <c r="A41" s="2">
        <v>40</v>
      </c>
      <c r="B41" s="2" t="s">
        <v>620</v>
      </c>
      <c r="C41" s="2" t="s">
        <v>644</v>
      </c>
      <c r="D41" s="3">
        <v>9.51</v>
      </c>
    </row>
    <row r="42" spans="1:4" x14ac:dyDescent="0.35">
      <c r="A42" s="2">
        <v>41</v>
      </c>
      <c r="B42" s="2" t="s">
        <v>645</v>
      </c>
      <c r="C42" s="2" t="s">
        <v>646</v>
      </c>
      <c r="D42" s="3">
        <v>5.48</v>
      </c>
    </row>
    <row r="43" spans="1:4" x14ac:dyDescent="0.35">
      <c r="A43" s="2">
        <v>42</v>
      </c>
      <c r="B43" s="2" t="s">
        <v>645</v>
      </c>
      <c r="C43" s="2" t="s">
        <v>647</v>
      </c>
      <c r="D43" s="3">
        <v>4.25</v>
      </c>
    </row>
    <row r="44" spans="1:4" x14ac:dyDescent="0.35">
      <c r="A44" s="2">
        <v>43</v>
      </c>
      <c r="B44" s="2" t="s">
        <v>645</v>
      </c>
      <c r="C44" s="2" t="s">
        <v>597</v>
      </c>
      <c r="D44" s="3">
        <v>2.67</v>
      </c>
    </row>
    <row r="45" spans="1:4" x14ac:dyDescent="0.35">
      <c r="A45" s="2">
        <v>44</v>
      </c>
      <c r="B45" s="2" t="s">
        <v>645</v>
      </c>
      <c r="C45" s="2" t="s">
        <v>648</v>
      </c>
      <c r="D45" s="3">
        <v>3.6</v>
      </c>
    </row>
    <row r="46" spans="1:4" x14ac:dyDescent="0.35">
      <c r="A46" s="2">
        <v>45</v>
      </c>
      <c r="B46" s="2" t="s">
        <v>645</v>
      </c>
      <c r="C46" s="2" t="s">
        <v>649</v>
      </c>
      <c r="D46" s="3">
        <v>4.7</v>
      </c>
    </row>
    <row r="47" spans="1:4" x14ac:dyDescent="0.35">
      <c r="A47" s="2">
        <v>46</v>
      </c>
      <c r="B47" s="2" t="s">
        <v>645</v>
      </c>
      <c r="C47" s="2" t="s">
        <v>650</v>
      </c>
      <c r="D47" s="3">
        <v>1.75</v>
      </c>
    </row>
    <row r="48" spans="1:4" x14ac:dyDescent="0.35">
      <c r="A48" s="2">
        <v>47</v>
      </c>
      <c r="B48" s="2" t="s">
        <v>651</v>
      </c>
      <c r="C48" s="2" t="s">
        <v>652</v>
      </c>
      <c r="D48" s="3">
        <v>3.95</v>
      </c>
    </row>
    <row r="49" spans="1:4" x14ac:dyDescent="0.35">
      <c r="A49" s="2">
        <v>48</v>
      </c>
      <c r="B49" s="2" t="s">
        <v>651</v>
      </c>
      <c r="C49" s="2" t="s">
        <v>653</v>
      </c>
      <c r="D49" s="3">
        <v>5.04</v>
      </c>
    </row>
    <row r="50" spans="1:4" x14ac:dyDescent="0.35">
      <c r="A50" s="2">
        <v>49</v>
      </c>
      <c r="B50" s="2" t="s">
        <v>651</v>
      </c>
      <c r="C50" s="2" t="s">
        <v>654</v>
      </c>
      <c r="D50" s="3">
        <v>4.7</v>
      </c>
    </row>
    <row r="51" spans="1:4" x14ac:dyDescent="0.35">
      <c r="A51" s="2">
        <v>50</v>
      </c>
      <c r="B51" s="2" t="s">
        <v>651</v>
      </c>
      <c r="C51" s="2" t="s">
        <v>655</v>
      </c>
      <c r="D51" s="3">
        <v>2.38</v>
      </c>
    </row>
    <row r="52" spans="1:4" x14ac:dyDescent="0.35">
      <c r="A52" s="2">
        <v>51</v>
      </c>
      <c r="B52" s="2" t="s">
        <v>651</v>
      </c>
      <c r="C52" s="2" t="s">
        <v>656</v>
      </c>
      <c r="D52" s="3">
        <v>2.7</v>
      </c>
    </row>
    <row r="53" spans="1:4" x14ac:dyDescent="0.35">
      <c r="A53" s="2">
        <v>52</v>
      </c>
      <c r="B53" s="2" t="s">
        <v>651</v>
      </c>
      <c r="C53" s="2" t="s">
        <v>657</v>
      </c>
      <c r="D53" s="3">
        <v>3.66</v>
      </c>
    </row>
    <row r="54" spans="1:4" x14ac:dyDescent="0.35">
      <c r="A54" s="2">
        <v>53</v>
      </c>
      <c r="B54" s="2" t="s">
        <v>651</v>
      </c>
      <c r="C54" s="2" t="s">
        <v>658</v>
      </c>
      <c r="D54" s="3">
        <v>2.61</v>
      </c>
    </row>
    <row r="55" spans="1:4" x14ac:dyDescent="0.35">
      <c r="A55" s="2">
        <v>54</v>
      </c>
      <c r="B55" s="2" t="s">
        <v>651</v>
      </c>
      <c r="C55" s="2" t="s">
        <v>659</v>
      </c>
      <c r="D55" s="3">
        <v>2.67</v>
      </c>
    </row>
    <row r="56" spans="1:4" x14ac:dyDescent="0.35">
      <c r="A56" s="2">
        <v>55</v>
      </c>
      <c r="B56" s="2" t="s">
        <v>651</v>
      </c>
      <c r="C56" s="2" t="s">
        <v>660</v>
      </c>
      <c r="D56" s="3">
        <v>2.57</v>
      </c>
    </row>
    <row r="57" spans="1:4" x14ac:dyDescent="0.35">
      <c r="A57" s="2">
        <v>56</v>
      </c>
      <c r="B57" s="2" t="s">
        <v>651</v>
      </c>
      <c r="C57" s="2" t="s">
        <v>661</v>
      </c>
      <c r="D57" s="3">
        <v>2.42</v>
      </c>
    </row>
    <row r="58" spans="1:4" x14ac:dyDescent="0.35">
      <c r="A58" s="2">
        <v>57</v>
      </c>
      <c r="B58" s="2" t="s">
        <v>651</v>
      </c>
      <c r="C58" s="2" t="s">
        <v>662</v>
      </c>
      <c r="D58" s="3">
        <v>3.56</v>
      </c>
    </row>
    <row r="59" spans="1:4" x14ac:dyDescent="0.35">
      <c r="A59" s="2">
        <v>58</v>
      </c>
      <c r="B59" s="2" t="s">
        <v>663</v>
      </c>
      <c r="C59" s="2" t="s">
        <v>664</v>
      </c>
      <c r="D59" s="3">
        <v>2.39</v>
      </c>
    </row>
    <row r="60" spans="1:4" x14ac:dyDescent="0.35">
      <c r="A60" s="2">
        <v>59</v>
      </c>
      <c r="B60" s="2" t="s">
        <v>663</v>
      </c>
      <c r="C60" s="2" t="s">
        <v>665</v>
      </c>
      <c r="D60" s="3">
        <v>0.77</v>
      </c>
    </row>
    <row r="61" spans="1:4" x14ac:dyDescent="0.35">
      <c r="A61" s="2">
        <v>60</v>
      </c>
      <c r="B61" s="2" t="s">
        <v>663</v>
      </c>
      <c r="C61" s="2" t="s">
        <v>666</v>
      </c>
      <c r="D61" s="3">
        <v>1.1399999999999999</v>
      </c>
    </row>
    <row r="62" spans="1:4" x14ac:dyDescent="0.35">
      <c r="A62" s="2">
        <v>61</v>
      </c>
      <c r="B62" s="2" t="s">
        <v>663</v>
      </c>
      <c r="C62" s="2" t="s">
        <v>667</v>
      </c>
      <c r="D62" s="3">
        <v>0.91</v>
      </c>
    </row>
    <row r="63" spans="1:4" x14ac:dyDescent="0.35">
      <c r="A63" s="2">
        <v>62</v>
      </c>
      <c r="B63" s="2" t="s">
        <v>663</v>
      </c>
      <c r="C63" s="2" t="s">
        <v>668</v>
      </c>
      <c r="D63" s="3">
        <v>0.7</v>
      </c>
    </row>
    <row r="64" spans="1:4" x14ac:dyDescent="0.35">
      <c r="A64" s="2">
        <v>63</v>
      </c>
      <c r="B64" s="2" t="s">
        <v>663</v>
      </c>
      <c r="C64" s="2" t="s">
        <v>669</v>
      </c>
      <c r="D64" s="3">
        <v>1</v>
      </c>
    </row>
    <row r="65" spans="1:4" x14ac:dyDescent="0.35">
      <c r="A65" s="2">
        <v>64</v>
      </c>
      <c r="B65" s="2" t="s">
        <v>663</v>
      </c>
      <c r="C65" s="2" t="s">
        <v>670</v>
      </c>
      <c r="D65" s="3">
        <v>1.05</v>
      </c>
    </row>
    <row r="66" spans="1:4" x14ac:dyDescent="0.35">
      <c r="A66" s="2">
        <v>65</v>
      </c>
      <c r="B66" s="2" t="s">
        <v>671</v>
      </c>
      <c r="C66" s="2" t="s">
        <v>672</v>
      </c>
      <c r="D66" s="3">
        <v>3.22</v>
      </c>
    </row>
    <row r="67" spans="1:4" x14ac:dyDescent="0.35">
      <c r="A67" s="2">
        <v>66</v>
      </c>
      <c r="B67" s="2" t="s">
        <v>671</v>
      </c>
      <c r="C67" s="2" t="s">
        <v>673</v>
      </c>
      <c r="D67" s="3">
        <v>2.91</v>
      </c>
    </row>
    <row r="68" spans="1:4" x14ac:dyDescent="0.35">
      <c r="A68" s="2">
        <v>67</v>
      </c>
      <c r="B68" s="2" t="s">
        <v>671</v>
      </c>
      <c r="C68" s="2" t="s">
        <v>674</v>
      </c>
      <c r="D68" s="3">
        <v>2.58</v>
      </c>
    </row>
    <row r="69" spans="1:4" x14ac:dyDescent="0.35">
      <c r="A69" s="2">
        <v>68</v>
      </c>
      <c r="B69" s="2" t="s">
        <v>671</v>
      </c>
      <c r="C69" s="2" t="s">
        <v>675</v>
      </c>
      <c r="D69" s="3">
        <v>2.8</v>
      </c>
    </row>
    <row r="70" spans="1:4" x14ac:dyDescent="0.35">
      <c r="A70" s="2">
        <v>69</v>
      </c>
      <c r="B70" s="2" t="s">
        <v>671</v>
      </c>
      <c r="C70" s="2" t="s">
        <v>676</v>
      </c>
      <c r="D70" s="3">
        <v>3.11</v>
      </c>
    </row>
    <row r="71" spans="1:4" x14ac:dyDescent="0.35">
      <c r="A71" s="2">
        <v>70</v>
      </c>
      <c r="B71" s="2" t="s">
        <v>671</v>
      </c>
      <c r="C71" s="2" t="s">
        <v>677</v>
      </c>
      <c r="D71" s="3">
        <v>3.31</v>
      </c>
    </row>
    <row r="72" spans="1:4" x14ac:dyDescent="0.35">
      <c r="A72" s="2">
        <v>71</v>
      </c>
      <c r="B72" s="2" t="s">
        <v>671</v>
      </c>
      <c r="C72" s="2" t="s">
        <v>678</v>
      </c>
      <c r="D72" s="3">
        <v>2.92</v>
      </c>
    </row>
    <row r="73" spans="1:4" x14ac:dyDescent="0.35">
      <c r="A73" s="2">
        <v>72</v>
      </c>
      <c r="B73" s="2" t="s">
        <v>671</v>
      </c>
      <c r="C73" s="2" t="s">
        <v>679</v>
      </c>
      <c r="D73" s="3">
        <v>7.26</v>
      </c>
    </row>
    <row r="74" spans="1:4" x14ac:dyDescent="0.35">
      <c r="A74" s="2">
        <v>73</v>
      </c>
      <c r="B74" s="2" t="s">
        <v>671</v>
      </c>
      <c r="C74" s="2" t="s">
        <v>680</v>
      </c>
      <c r="D74" s="3">
        <v>7.3</v>
      </c>
    </row>
    <row r="75" spans="1:4" x14ac:dyDescent="0.35">
      <c r="A75" s="2">
        <v>74</v>
      </c>
      <c r="B75" s="2" t="s">
        <v>681</v>
      </c>
      <c r="C75" s="2" t="s">
        <v>682</v>
      </c>
      <c r="D75" s="3">
        <v>5.19</v>
      </c>
    </row>
    <row r="76" spans="1:4" x14ac:dyDescent="0.35">
      <c r="A76" s="2">
        <v>75</v>
      </c>
      <c r="B76" s="2" t="s">
        <v>681</v>
      </c>
      <c r="C76" s="2" t="s">
        <v>683</v>
      </c>
      <c r="D76" s="3">
        <v>2.36</v>
      </c>
    </row>
    <row r="77" spans="1:4" x14ac:dyDescent="0.35">
      <c r="A77" s="2">
        <v>76</v>
      </c>
      <c r="B77" s="2" t="s">
        <v>681</v>
      </c>
      <c r="C77" s="2" t="s">
        <v>684</v>
      </c>
      <c r="D77" s="3">
        <v>1.33</v>
      </c>
    </row>
    <row r="78" spans="1:4" x14ac:dyDescent="0.35">
      <c r="A78" s="2">
        <v>77</v>
      </c>
      <c r="B78" s="2" t="s">
        <v>681</v>
      </c>
      <c r="C78" s="2" t="s">
        <v>685</v>
      </c>
      <c r="D78" s="3">
        <v>3.02</v>
      </c>
    </row>
    <row r="79" spans="1:4" x14ac:dyDescent="0.35">
      <c r="A79" s="2">
        <v>78</v>
      </c>
      <c r="B79" s="2" t="s">
        <v>686</v>
      </c>
      <c r="C79" s="2" t="s">
        <v>687</v>
      </c>
      <c r="D79" s="3">
        <v>2.66</v>
      </c>
    </row>
    <row r="80" spans="1:4" x14ac:dyDescent="0.35">
      <c r="A80" s="2">
        <v>79</v>
      </c>
      <c r="B80" s="2" t="s">
        <v>686</v>
      </c>
      <c r="C80" s="2" t="s">
        <v>688</v>
      </c>
      <c r="D80" s="3">
        <v>2.17</v>
      </c>
    </row>
    <row r="81" spans="1:4" x14ac:dyDescent="0.35">
      <c r="A81" s="2">
        <v>80</v>
      </c>
      <c r="B81" s="2" t="s">
        <v>686</v>
      </c>
      <c r="C81" s="2" t="s">
        <v>689</v>
      </c>
      <c r="D81" s="3">
        <v>2.34</v>
      </c>
    </row>
    <row r="82" spans="1:4" x14ac:dyDescent="0.35">
      <c r="A82" s="2">
        <v>81</v>
      </c>
      <c r="B82" s="2" t="s">
        <v>686</v>
      </c>
      <c r="C82" s="2" t="s">
        <v>419</v>
      </c>
      <c r="D82" s="3">
        <v>1.87</v>
      </c>
    </row>
    <row r="83" spans="1:4" x14ac:dyDescent="0.35">
      <c r="A83" s="2">
        <v>82</v>
      </c>
      <c r="B83" s="2" t="s">
        <v>686</v>
      </c>
      <c r="C83" s="2" t="s">
        <v>690</v>
      </c>
      <c r="D83" s="3">
        <v>2.59</v>
      </c>
    </row>
    <row r="84" spans="1:4" x14ac:dyDescent="0.35">
      <c r="A84" s="2">
        <v>83</v>
      </c>
      <c r="B84" s="2" t="s">
        <v>686</v>
      </c>
      <c r="C84" s="2" t="s">
        <v>691</v>
      </c>
      <c r="D84" s="3">
        <v>2.72</v>
      </c>
    </row>
    <row r="85" spans="1:4" x14ac:dyDescent="0.35">
      <c r="A85" s="2">
        <v>84</v>
      </c>
      <c r="B85" s="2" t="s">
        <v>686</v>
      </c>
      <c r="C85" s="2" t="s">
        <v>692</v>
      </c>
      <c r="D85" s="3">
        <v>2.31</v>
      </c>
    </row>
    <row r="86" spans="1:4" x14ac:dyDescent="0.35">
      <c r="A86" s="2">
        <v>85</v>
      </c>
      <c r="B86" s="2" t="s">
        <v>686</v>
      </c>
      <c r="C86" s="2" t="s">
        <v>693</v>
      </c>
      <c r="D86" s="3">
        <v>2.9</v>
      </c>
    </row>
    <row r="87" spans="1:4" x14ac:dyDescent="0.35">
      <c r="A87" s="2">
        <v>86</v>
      </c>
      <c r="B87" s="2" t="s">
        <v>686</v>
      </c>
      <c r="C87" s="2" t="s">
        <v>694</v>
      </c>
      <c r="D87" s="3">
        <v>2.72</v>
      </c>
    </row>
    <row r="88" spans="1:4" x14ac:dyDescent="0.35">
      <c r="A88" s="2">
        <v>87</v>
      </c>
      <c r="B88" s="2" t="s">
        <v>686</v>
      </c>
      <c r="C88" s="2" t="s">
        <v>695</v>
      </c>
      <c r="D88" s="3">
        <v>2.85</v>
      </c>
    </row>
    <row r="89" spans="1:4" x14ac:dyDescent="0.35">
      <c r="A89" s="2">
        <v>88</v>
      </c>
      <c r="B89" s="2" t="s">
        <v>686</v>
      </c>
      <c r="C89" s="2" t="s">
        <v>696</v>
      </c>
      <c r="D89" s="3">
        <v>3.01</v>
      </c>
    </row>
    <row r="90" spans="1:4" x14ac:dyDescent="0.35">
      <c r="A90" s="2">
        <v>89</v>
      </c>
      <c r="B90" s="2" t="s">
        <v>686</v>
      </c>
      <c r="C90" s="2" t="s">
        <v>697</v>
      </c>
      <c r="D90" s="3">
        <v>4.1900000000000004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59"/>
  <sheetViews>
    <sheetView workbookViewId="0">
      <selection activeCell="F2" sqref="F2"/>
    </sheetView>
  </sheetViews>
  <sheetFormatPr defaultRowHeight="14.5" x14ac:dyDescent="0.35"/>
  <cols>
    <col min="1" max="1" width="8" customWidth="1"/>
    <col min="2" max="2" width="19" customWidth="1"/>
    <col min="3" max="3" width="40" customWidth="1"/>
    <col min="4" max="4" width="10" customWidth="1"/>
    <col min="5" max="5" width="13" customWidth="1"/>
    <col min="6" max="6" width="19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698</v>
      </c>
      <c r="E1" s="1" t="s">
        <v>3</v>
      </c>
      <c r="F1" s="1" t="s">
        <v>4</v>
      </c>
      <c r="H1" s="6" t="s">
        <v>5</v>
      </c>
      <c r="I1" s="6" t="s">
        <v>6</v>
      </c>
      <c r="K1" s="5" t="s">
        <v>7</v>
      </c>
      <c r="M1" s="5" t="s">
        <v>8</v>
      </c>
    </row>
    <row r="2" spans="1:13" x14ac:dyDescent="0.35">
      <c r="A2" s="2">
        <v>1</v>
      </c>
      <c r="B2" s="2" t="s">
        <v>699</v>
      </c>
      <c r="C2" s="2" t="s">
        <v>606</v>
      </c>
      <c r="D2" s="2" t="s">
        <v>700</v>
      </c>
      <c r="E2" s="3">
        <v>1.72</v>
      </c>
      <c r="F2" s="3">
        <v>28</v>
      </c>
      <c r="H2">
        <f t="shared" ref="H2:H33" si="0">IFERROR(((F2-MIN(F2/2,30)-4)*0.7)-$E2,0)</f>
        <v>5.28</v>
      </c>
      <c r="I2" s="7">
        <f t="shared" ref="I2:I33" si="1">H2/F2</f>
        <v>0.18857142857142858</v>
      </c>
      <c r="K2">
        <f t="shared" ref="K2:K33" si="2">ROUND(IF(E2&lt;=3.2,28+10*(E2),(23.8+E2)/0.45),0)</f>
        <v>45</v>
      </c>
      <c r="M2" s="8">
        <f t="shared" ref="M2:M33" si="3">MAX(K2,F2)</f>
        <v>45</v>
      </c>
    </row>
    <row r="3" spans="1:13" x14ac:dyDescent="0.35">
      <c r="A3" s="2">
        <v>2</v>
      </c>
      <c r="B3" s="2" t="s">
        <v>699</v>
      </c>
      <c r="C3" s="2" t="s">
        <v>607</v>
      </c>
      <c r="D3" s="2" t="s">
        <v>700</v>
      </c>
      <c r="E3" s="3">
        <v>1.95</v>
      </c>
      <c r="F3" s="3">
        <v>30</v>
      </c>
      <c r="H3">
        <f t="shared" si="0"/>
        <v>5.7499999999999991</v>
      </c>
      <c r="I3" s="7">
        <f t="shared" si="1"/>
        <v>0.19166666666666662</v>
      </c>
      <c r="K3">
        <f t="shared" si="2"/>
        <v>48</v>
      </c>
      <c r="M3" s="8">
        <f t="shared" si="3"/>
        <v>48</v>
      </c>
    </row>
    <row r="4" spans="1:13" x14ac:dyDescent="0.35">
      <c r="A4" s="2">
        <v>3</v>
      </c>
      <c r="B4" s="2" t="s">
        <v>699</v>
      </c>
      <c r="C4" s="2" t="s">
        <v>701</v>
      </c>
      <c r="D4" s="2" t="s">
        <v>700</v>
      </c>
      <c r="E4" s="3">
        <v>0.99</v>
      </c>
      <c r="F4" s="3">
        <v>32</v>
      </c>
      <c r="H4">
        <f t="shared" si="0"/>
        <v>7.4099999999999984</v>
      </c>
      <c r="I4" s="7">
        <f t="shared" si="1"/>
        <v>0.23156249999999995</v>
      </c>
      <c r="K4">
        <f t="shared" si="2"/>
        <v>38</v>
      </c>
      <c r="M4" s="8">
        <f t="shared" si="3"/>
        <v>38</v>
      </c>
    </row>
    <row r="5" spans="1:13" x14ac:dyDescent="0.35">
      <c r="A5" s="2">
        <v>4</v>
      </c>
      <c r="B5" s="2" t="s">
        <v>699</v>
      </c>
      <c r="C5" s="2" t="s">
        <v>702</v>
      </c>
      <c r="D5" s="2" t="s">
        <v>703</v>
      </c>
      <c r="E5" s="3">
        <v>0.99</v>
      </c>
      <c r="F5" s="3">
        <v>36</v>
      </c>
      <c r="H5">
        <f t="shared" si="0"/>
        <v>8.8099999999999987</v>
      </c>
      <c r="I5" s="7">
        <f t="shared" si="1"/>
        <v>0.24472222222222217</v>
      </c>
      <c r="K5">
        <f t="shared" si="2"/>
        <v>38</v>
      </c>
      <c r="M5" s="8">
        <f t="shared" si="3"/>
        <v>38</v>
      </c>
    </row>
    <row r="6" spans="1:13" x14ac:dyDescent="0.35">
      <c r="A6" s="2">
        <v>5</v>
      </c>
      <c r="B6" s="2" t="s">
        <v>699</v>
      </c>
      <c r="C6" s="2" t="s">
        <v>704</v>
      </c>
      <c r="D6" s="2" t="s">
        <v>705</v>
      </c>
      <c r="E6" s="3">
        <v>0.99</v>
      </c>
      <c r="F6" s="3">
        <v>38</v>
      </c>
      <c r="H6">
        <f t="shared" si="0"/>
        <v>9.51</v>
      </c>
      <c r="I6" s="7">
        <f t="shared" si="1"/>
        <v>0.25026315789473685</v>
      </c>
      <c r="K6">
        <f t="shared" si="2"/>
        <v>38</v>
      </c>
      <c r="M6" s="8">
        <f t="shared" si="3"/>
        <v>38</v>
      </c>
    </row>
    <row r="7" spans="1:13" x14ac:dyDescent="0.35">
      <c r="A7" s="2">
        <v>6</v>
      </c>
      <c r="B7" s="2" t="s">
        <v>699</v>
      </c>
      <c r="C7" s="2" t="s">
        <v>706</v>
      </c>
      <c r="D7" s="2" t="s">
        <v>700</v>
      </c>
      <c r="E7" s="3">
        <v>0.8</v>
      </c>
      <c r="F7" s="3">
        <v>32</v>
      </c>
      <c r="H7">
        <f t="shared" si="0"/>
        <v>7.5999999999999988</v>
      </c>
      <c r="I7" s="7">
        <f t="shared" si="1"/>
        <v>0.23749999999999996</v>
      </c>
      <c r="K7">
        <f t="shared" si="2"/>
        <v>36</v>
      </c>
      <c r="M7" s="8">
        <f t="shared" si="3"/>
        <v>36</v>
      </c>
    </row>
    <row r="8" spans="1:13" x14ac:dyDescent="0.35">
      <c r="A8" s="2">
        <v>7</v>
      </c>
      <c r="B8" s="2" t="s">
        <v>699</v>
      </c>
      <c r="C8" s="2" t="s">
        <v>707</v>
      </c>
      <c r="D8" s="2" t="s">
        <v>703</v>
      </c>
      <c r="E8" s="3">
        <v>0.8</v>
      </c>
      <c r="F8" s="3">
        <v>36</v>
      </c>
      <c r="H8">
        <f t="shared" si="0"/>
        <v>8.9999999999999982</v>
      </c>
      <c r="I8" s="7">
        <f t="shared" si="1"/>
        <v>0.24999999999999994</v>
      </c>
      <c r="K8">
        <f t="shared" si="2"/>
        <v>36</v>
      </c>
      <c r="M8" s="8">
        <f t="shared" si="3"/>
        <v>36</v>
      </c>
    </row>
    <row r="9" spans="1:13" x14ac:dyDescent="0.35">
      <c r="A9" s="2">
        <v>8</v>
      </c>
      <c r="B9" s="2" t="s">
        <v>699</v>
      </c>
      <c r="C9" s="2" t="s">
        <v>708</v>
      </c>
      <c r="D9" s="2" t="s">
        <v>705</v>
      </c>
      <c r="E9" s="3">
        <v>0.8</v>
      </c>
      <c r="F9" s="3">
        <v>38</v>
      </c>
      <c r="H9">
        <f t="shared" si="0"/>
        <v>9.6999999999999993</v>
      </c>
      <c r="I9" s="7">
        <f t="shared" si="1"/>
        <v>0.2552631578947368</v>
      </c>
      <c r="K9">
        <f t="shared" si="2"/>
        <v>36</v>
      </c>
      <c r="M9" s="8">
        <f t="shared" si="3"/>
        <v>38</v>
      </c>
    </row>
    <row r="10" spans="1:13" x14ac:dyDescent="0.35">
      <c r="A10" s="2">
        <v>9</v>
      </c>
      <c r="B10" s="2" t="s">
        <v>699</v>
      </c>
      <c r="C10" s="2" t="s">
        <v>709</v>
      </c>
      <c r="D10" s="2" t="s">
        <v>700</v>
      </c>
      <c r="E10" s="3">
        <v>1.1200000000000001</v>
      </c>
      <c r="F10" s="3">
        <v>30</v>
      </c>
      <c r="H10">
        <f t="shared" si="0"/>
        <v>6.5799999999999992</v>
      </c>
      <c r="I10" s="7">
        <f t="shared" si="1"/>
        <v>0.2193333333333333</v>
      </c>
      <c r="K10">
        <f t="shared" si="2"/>
        <v>39</v>
      </c>
      <c r="M10" s="8">
        <f t="shared" si="3"/>
        <v>39</v>
      </c>
    </row>
    <row r="11" spans="1:13" x14ac:dyDescent="0.35">
      <c r="A11" s="2">
        <v>10</v>
      </c>
      <c r="B11" s="2" t="s">
        <v>699</v>
      </c>
      <c r="C11" s="2" t="s">
        <v>710</v>
      </c>
      <c r="D11" s="2" t="s">
        <v>703</v>
      </c>
      <c r="E11" s="3">
        <v>1.1200000000000001</v>
      </c>
      <c r="F11" s="3">
        <v>34</v>
      </c>
      <c r="H11">
        <f t="shared" si="0"/>
        <v>7.9799999999999995</v>
      </c>
      <c r="I11" s="7">
        <f t="shared" si="1"/>
        <v>0.23470588235294115</v>
      </c>
      <c r="K11">
        <f t="shared" si="2"/>
        <v>39</v>
      </c>
      <c r="M11" s="8">
        <f t="shared" si="3"/>
        <v>39</v>
      </c>
    </row>
    <row r="12" spans="1:13" x14ac:dyDescent="0.35">
      <c r="A12" s="2">
        <v>11</v>
      </c>
      <c r="B12" s="2" t="s">
        <v>699</v>
      </c>
      <c r="C12" s="2" t="s">
        <v>711</v>
      </c>
      <c r="D12" s="2" t="s">
        <v>705</v>
      </c>
      <c r="E12" s="3">
        <v>1.1200000000000001</v>
      </c>
      <c r="F12" s="3">
        <v>36</v>
      </c>
      <c r="H12">
        <f t="shared" si="0"/>
        <v>8.68</v>
      </c>
      <c r="I12" s="7">
        <f t="shared" si="1"/>
        <v>0.24111111111111111</v>
      </c>
      <c r="K12">
        <f t="shared" si="2"/>
        <v>39</v>
      </c>
      <c r="M12" s="8">
        <f t="shared" si="3"/>
        <v>39</v>
      </c>
    </row>
    <row r="13" spans="1:13" x14ac:dyDescent="0.35">
      <c r="A13" s="2">
        <v>12</v>
      </c>
      <c r="B13" s="2" t="s">
        <v>699</v>
      </c>
      <c r="C13" s="2" t="s">
        <v>712</v>
      </c>
      <c r="D13" s="2" t="s">
        <v>700</v>
      </c>
      <c r="E13" s="3">
        <v>0.69</v>
      </c>
      <c r="F13" s="3">
        <v>30</v>
      </c>
      <c r="H13">
        <f t="shared" si="0"/>
        <v>7.01</v>
      </c>
      <c r="I13" s="7">
        <f t="shared" si="1"/>
        <v>0.23366666666666666</v>
      </c>
      <c r="K13">
        <f t="shared" si="2"/>
        <v>35</v>
      </c>
      <c r="M13" s="8">
        <f t="shared" si="3"/>
        <v>35</v>
      </c>
    </row>
    <row r="14" spans="1:13" x14ac:dyDescent="0.35">
      <c r="A14" s="2">
        <v>13</v>
      </c>
      <c r="B14" s="2" t="s">
        <v>699</v>
      </c>
      <c r="C14" s="2" t="s">
        <v>713</v>
      </c>
      <c r="D14" s="2" t="s">
        <v>703</v>
      </c>
      <c r="E14" s="3">
        <v>0.69</v>
      </c>
      <c r="F14" s="3">
        <v>34</v>
      </c>
      <c r="H14">
        <f t="shared" si="0"/>
        <v>8.41</v>
      </c>
      <c r="I14" s="7">
        <f t="shared" si="1"/>
        <v>0.24735294117647058</v>
      </c>
      <c r="K14">
        <f t="shared" si="2"/>
        <v>35</v>
      </c>
      <c r="M14" s="8">
        <f t="shared" si="3"/>
        <v>35</v>
      </c>
    </row>
    <row r="15" spans="1:13" x14ac:dyDescent="0.35">
      <c r="A15" s="2">
        <v>14</v>
      </c>
      <c r="B15" s="2" t="s">
        <v>699</v>
      </c>
      <c r="C15" s="2" t="s">
        <v>714</v>
      </c>
      <c r="D15" s="2" t="s">
        <v>705</v>
      </c>
      <c r="E15" s="3">
        <v>0.69</v>
      </c>
      <c r="F15" s="3">
        <v>36</v>
      </c>
      <c r="H15">
        <f t="shared" si="0"/>
        <v>9.11</v>
      </c>
      <c r="I15" s="7">
        <f t="shared" si="1"/>
        <v>0.25305555555555553</v>
      </c>
      <c r="K15">
        <f t="shared" si="2"/>
        <v>35</v>
      </c>
      <c r="M15" s="8">
        <f t="shared" si="3"/>
        <v>36</v>
      </c>
    </row>
    <row r="16" spans="1:13" x14ac:dyDescent="0.35">
      <c r="A16" s="2">
        <v>15</v>
      </c>
      <c r="B16" s="2" t="s">
        <v>699</v>
      </c>
      <c r="C16" s="2" t="s">
        <v>715</v>
      </c>
      <c r="D16" s="2" t="s">
        <v>700</v>
      </c>
      <c r="E16" s="3">
        <v>0.5</v>
      </c>
      <c r="F16" s="3">
        <v>26</v>
      </c>
      <c r="H16">
        <f t="shared" si="0"/>
        <v>5.8</v>
      </c>
      <c r="I16" s="7">
        <f t="shared" si="1"/>
        <v>0.22307692307692306</v>
      </c>
      <c r="K16">
        <f t="shared" si="2"/>
        <v>33</v>
      </c>
      <c r="M16" s="8">
        <f t="shared" si="3"/>
        <v>33</v>
      </c>
    </row>
    <row r="17" spans="1:13" x14ac:dyDescent="0.35">
      <c r="A17" s="2">
        <v>16</v>
      </c>
      <c r="B17" s="2" t="s">
        <v>699</v>
      </c>
      <c r="C17" s="2" t="s">
        <v>716</v>
      </c>
      <c r="D17" s="2" t="s">
        <v>703</v>
      </c>
      <c r="E17" s="3">
        <v>0.5</v>
      </c>
      <c r="F17" s="3">
        <v>30</v>
      </c>
      <c r="H17">
        <f t="shared" si="0"/>
        <v>7.1999999999999993</v>
      </c>
      <c r="I17" s="7">
        <f t="shared" si="1"/>
        <v>0.23999999999999996</v>
      </c>
      <c r="K17">
        <f t="shared" si="2"/>
        <v>33</v>
      </c>
      <c r="M17" s="8">
        <f t="shared" si="3"/>
        <v>33</v>
      </c>
    </row>
    <row r="18" spans="1:13" x14ac:dyDescent="0.35">
      <c r="A18" s="2">
        <v>17</v>
      </c>
      <c r="B18" s="2" t="s">
        <v>699</v>
      </c>
      <c r="C18" s="2" t="s">
        <v>717</v>
      </c>
      <c r="D18" s="2" t="s">
        <v>705</v>
      </c>
      <c r="E18" s="3">
        <v>0.5</v>
      </c>
      <c r="F18" s="3">
        <v>32</v>
      </c>
      <c r="H18">
        <f t="shared" si="0"/>
        <v>7.8999999999999986</v>
      </c>
      <c r="I18" s="7">
        <f t="shared" si="1"/>
        <v>0.24687499999999996</v>
      </c>
      <c r="K18">
        <f t="shared" si="2"/>
        <v>33</v>
      </c>
      <c r="M18" s="8">
        <f t="shared" si="3"/>
        <v>33</v>
      </c>
    </row>
    <row r="19" spans="1:13" x14ac:dyDescent="0.35">
      <c r="A19" s="2">
        <v>18</v>
      </c>
      <c r="B19" s="2" t="s">
        <v>699</v>
      </c>
      <c r="C19" s="2" t="s">
        <v>614</v>
      </c>
      <c r="D19" s="2" t="s">
        <v>700</v>
      </c>
      <c r="E19" s="3">
        <v>1.91</v>
      </c>
      <c r="F19" s="3">
        <v>32</v>
      </c>
      <c r="H19">
        <f t="shared" si="0"/>
        <v>6.4899999999999984</v>
      </c>
      <c r="I19" s="7">
        <f t="shared" si="1"/>
        <v>0.20281249999999995</v>
      </c>
      <c r="K19">
        <f t="shared" si="2"/>
        <v>47</v>
      </c>
      <c r="M19" s="8">
        <f t="shared" si="3"/>
        <v>47</v>
      </c>
    </row>
    <row r="20" spans="1:13" x14ac:dyDescent="0.35">
      <c r="A20" s="2">
        <v>19</v>
      </c>
      <c r="B20" s="2" t="s">
        <v>699</v>
      </c>
      <c r="C20" s="2" t="s">
        <v>509</v>
      </c>
      <c r="D20" s="2" t="s">
        <v>700</v>
      </c>
      <c r="E20" s="3">
        <v>3.71</v>
      </c>
      <c r="F20" s="3">
        <v>38</v>
      </c>
      <c r="H20">
        <f t="shared" si="0"/>
        <v>6.79</v>
      </c>
      <c r="I20" s="7">
        <f t="shared" si="1"/>
        <v>0.17868421052631578</v>
      </c>
      <c r="K20">
        <f t="shared" si="2"/>
        <v>61</v>
      </c>
      <c r="M20" s="8">
        <f t="shared" si="3"/>
        <v>61</v>
      </c>
    </row>
    <row r="21" spans="1:13" x14ac:dyDescent="0.35">
      <c r="A21" s="2">
        <v>20</v>
      </c>
      <c r="B21" s="2" t="s">
        <v>345</v>
      </c>
      <c r="C21" s="2" t="s">
        <v>718</v>
      </c>
      <c r="D21" s="2" t="s">
        <v>700</v>
      </c>
      <c r="E21" s="3">
        <v>3.6</v>
      </c>
      <c r="F21" s="3">
        <v>38</v>
      </c>
      <c r="H21">
        <f t="shared" si="0"/>
        <v>6.9</v>
      </c>
      <c r="I21" s="7">
        <f t="shared" si="1"/>
        <v>0.18157894736842106</v>
      </c>
      <c r="K21">
        <f t="shared" si="2"/>
        <v>61</v>
      </c>
      <c r="M21" s="8">
        <f t="shared" si="3"/>
        <v>61</v>
      </c>
    </row>
    <row r="22" spans="1:13" x14ac:dyDescent="0.35">
      <c r="A22" s="2">
        <v>21</v>
      </c>
      <c r="B22" s="2" t="s">
        <v>345</v>
      </c>
      <c r="C22" s="2" t="s">
        <v>719</v>
      </c>
      <c r="D22" s="2" t="s">
        <v>700</v>
      </c>
      <c r="E22" s="2"/>
      <c r="F22" s="3">
        <v>38</v>
      </c>
      <c r="H22">
        <f t="shared" si="0"/>
        <v>10.5</v>
      </c>
      <c r="I22" s="7">
        <f t="shared" si="1"/>
        <v>0.27631578947368424</v>
      </c>
      <c r="K22">
        <f t="shared" si="2"/>
        <v>28</v>
      </c>
      <c r="M22" s="8">
        <f t="shared" si="3"/>
        <v>38</v>
      </c>
    </row>
    <row r="23" spans="1:13" x14ac:dyDescent="0.35">
      <c r="A23" s="2">
        <v>22</v>
      </c>
      <c r="B23" s="2" t="s">
        <v>345</v>
      </c>
      <c r="C23" s="2" t="s">
        <v>719</v>
      </c>
      <c r="D23" s="2" t="s">
        <v>703</v>
      </c>
      <c r="E23" s="3">
        <v>3.63</v>
      </c>
      <c r="F23" s="3">
        <v>41</v>
      </c>
      <c r="H23">
        <f t="shared" si="0"/>
        <v>7.919999999999999</v>
      </c>
      <c r="I23" s="7">
        <f t="shared" si="1"/>
        <v>0.19317073170731705</v>
      </c>
      <c r="K23">
        <f t="shared" si="2"/>
        <v>61</v>
      </c>
      <c r="M23" s="8">
        <f t="shared" si="3"/>
        <v>61</v>
      </c>
    </row>
    <row r="24" spans="1:13" x14ac:dyDescent="0.35">
      <c r="A24" s="2">
        <v>23</v>
      </c>
      <c r="B24" s="2" t="s">
        <v>345</v>
      </c>
      <c r="C24" s="2" t="s">
        <v>720</v>
      </c>
      <c r="D24" s="2" t="s">
        <v>700</v>
      </c>
      <c r="E24" s="2"/>
      <c r="F24" s="3">
        <v>42</v>
      </c>
      <c r="H24">
        <f t="shared" si="0"/>
        <v>11.899999999999999</v>
      </c>
      <c r="I24" s="7">
        <f t="shared" si="1"/>
        <v>0.28333333333333333</v>
      </c>
      <c r="K24">
        <f t="shared" si="2"/>
        <v>28</v>
      </c>
      <c r="M24" s="8">
        <f t="shared" si="3"/>
        <v>42</v>
      </c>
    </row>
    <row r="25" spans="1:13" x14ac:dyDescent="0.35">
      <c r="A25" s="2">
        <v>24</v>
      </c>
      <c r="B25" s="2" t="s">
        <v>345</v>
      </c>
      <c r="C25" s="2" t="s">
        <v>720</v>
      </c>
      <c r="D25" s="2" t="s">
        <v>703</v>
      </c>
      <c r="E25" s="3">
        <v>3.14</v>
      </c>
      <c r="F25" s="3">
        <v>45</v>
      </c>
      <c r="H25">
        <f t="shared" si="0"/>
        <v>9.8099999999999987</v>
      </c>
      <c r="I25" s="7">
        <f t="shared" si="1"/>
        <v>0.21799999999999997</v>
      </c>
      <c r="K25">
        <f t="shared" si="2"/>
        <v>59</v>
      </c>
      <c r="M25" s="8">
        <f t="shared" si="3"/>
        <v>59</v>
      </c>
    </row>
    <row r="26" spans="1:13" x14ac:dyDescent="0.35">
      <c r="A26" s="2">
        <v>25</v>
      </c>
      <c r="B26" s="2" t="s">
        <v>345</v>
      </c>
      <c r="C26" s="2" t="s">
        <v>721</v>
      </c>
      <c r="D26" s="2" t="s">
        <v>700</v>
      </c>
      <c r="E26" s="2"/>
      <c r="F26" s="3">
        <v>44</v>
      </c>
      <c r="H26">
        <f t="shared" si="0"/>
        <v>12.6</v>
      </c>
      <c r="I26" s="7">
        <f t="shared" si="1"/>
        <v>0.28636363636363638</v>
      </c>
      <c r="K26">
        <f t="shared" si="2"/>
        <v>28</v>
      </c>
      <c r="M26" s="8">
        <f t="shared" si="3"/>
        <v>44</v>
      </c>
    </row>
    <row r="27" spans="1:13" x14ac:dyDescent="0.35">
      <c r="A27" s="2">
        <v>26</v>
      </c>
      <c r="B27" s="2" t="s">
        <v>345</v>
      </c>
      <c r="C27" s="2" t="s">
        <v>721</v>
      </c>
      <c r="D27" s="2" t="s">
        <v>703</v>
      </c>
      <c r="E27" s="3">
        <v>3.19</v>
      </c>
      <c r="F27" s="3">
        <v>47</v>
      </c>
      <c r="H27">
        <f t="shared" si="0"/>
        <v>10.459999999999999</v>
      </c>
      <c r="I27" s="7">
        <f t="shared" si="1"/>
        <v>0.22255319148936167</v>
      </c>
      <c r="K27">
        <f t="shared" si="2"/>
        <v>60</v>
      </c>
      <c r="M27" s="8">
        <f t="shared" si="3"/>
        <v>60</v>
      </c>
    </row>
    <row r="28" spans="1:13" x14ac:dyDescent="0.35">
      <c r="A28" s="2">
        <v>27</v>
      </c>
      <c r="B28" s="2" t="s">
        <v>345</v>
      </c>
      <c r="C28" s="2" t="s">
        <v>722</v>
      </c>
      <c r="D28" s="2" t="s">
        <v>700</v>
      </c>
      <c r="E28" s="3">
        <v>4.25</v>
      </c>
      <c r="F28" s="3">
        <v>44</v>
      </c>
      <c r="H28">
        <f t="shared" si="0"/>
        <v>8.35</v>
      </c>
      <c r="I28" s="7">
        <f t="shared" si="1"/>
        <v>0.18977272727272726</v>
      </c>
      <c r="K28">
        <f t="shared" si="2"/>
        <v>62</v>
      </c>
      <c r="M28" s="8">
        <f t="shared" si="3"/>
        <v>62</v>
      </c>
    </row>
    <row r="29" spans="1:13" x14ac:dyDescent="0.35">
      <c r="A29" s="2">
        <v>28</v>
      </c>
      <c r="B29" s="2" t="s">
        <v>345</v>
      </c>
      <c r="C29" s="2" t="s">
        <v>722</v>
      </c>
      <c r="D29" s="2" t="s">
        <v>703</v>
      </c>
      <c r="E29" s="3">
        <v>3.3</v>
      </c>
      <c r="F29" s="3">
        <v>47</v>
      </c>
      <c r="H29">
        <f t="shared" si="0"/>
        <v>10.349999999999998</v>
      </c>
      <c r="I29" s="7">
        <f t="shared" si="1"/>
        <v>0.22021276595744677</v>
      </c>
      <c r="K29">
        <f t="shared" si="2"/>
        <v>60</v>
      </c>
      <c r="M29" s="8">
        <f t="shared" si="3"/>
        <v>60</v>
      </c>
    </row>
    <row r="30" spans="1:13" x14ac:dyDescent="0.35">
      <c r="A30" s="2">
        <v>29</v>
      </c>
      <c r="B30" s="2" t="s">
        <v>345</v>
      </c>
      <c r="C30" s="2" t="s">
        <v>723</v>
      </c>
      <c r="D30" s="2" t="s">
        <v>700</v>
      </c>
      <c r="E30" s="2"/>
      <c r="F30" s="3">
        <v>46</v>
      </c>
      <c r="H30">
        <f t="shared" si="0"/>
        <v>13.299999999999999</v>
      </c>
      <c r="I30" s="7">
        <f t="shared" si="1"/>
        <v>0.28913043478260869</v>
      </c>
      <c r="K30">
        <f t="shared" si="2"/>
        <v>28</v>
      </c>
      <c r="M30" s="8">
        <f t="shared" si="3"/>
        <v>46</v>
      </c>
    </row>
    <row r="31" spans="1:13" x14ac:dyDescent="0.35">
      <c r="A31" s="2">
        <v>30</v>
      </c>
      <c r="B31" s="2" t="s">
        <v>345</v>
      </c>
      <c r="C31" s="2" t="s">
        <v>723</v>
      </c>
      <c r="D31" s="2" t="s">
        <v>703</v>
      </c>
      <c r="E31" s="3">
        <v>4.24</v>
      </c>
      <c r="F31" s="3">
        <v>49</v>
      </c>
      <c r="H31">
        <f t="shared" si="0"/>
        <v>10.11</v>
      </c>
      <c r="I31" s="7">
        <f t="shared" si="1"/>
        <v>0.20632653061224487</v>
      </c>
      <c r="K31">
        <f t="shared" si="2"/>
        <v>62</v>
      </c>
      <c r="M31" s="8">
        <f t="shared" si="3"/>
        <v>62</v>
      </c>
    </row>
    <row r="32" spans="1:13" x14ac:dyDescent="0.35">
      <c r="A32" s="2">
        <v>31</v>
      </c>
      <c r="B32" s="2" t="s">
        <v>724</v>
      </c>
      <c r="C32" s="2" t="s">
        <v>725</v>
      </c>
      <c r="D32" s="2" t="s">
        <v>700</v>
      </c>
      <c r="E32" s="3">
        <v>3.84</v>
      </c>
      <c r="F32" s="3">
        <v>42</v>
      </c>
      <c r="H32">
        <f t="shared" si="0"/>
        <v>8.0599999999999987</v>
      </c>
      <c r="I32" s="7">
        <f t="shared" si="1"/>
        <v>0.19190476190476188</v>
      </c>
      <c r="K32">
        <f t="shared" si="2"/>
        <v>61</v>
      </c>
      <c r="M32" s="8">
        <f t="shared" si="3"/>
        <v>61</v>
      </c>
    </row>
    <row r="33" spans="1:13" x14ac:dyDescent="0.35">
      <c r="A33" s="2">
        <v>32</v>
      </c>
      <c r="B33" s="2" t="s">
        <v>724</v>
      </c>
      <c r="C33" s="2" t="s">
        <v>624</v>
      </c>
      <c r="D33" s="2" t="s">
        <v>700</v>
      </c>
      <c r="E33" s="3">
        <v>5.79</v>
      </c>
      <c r="F33" s="3">
        <v>52</v>
      </c>
      <c r="H33">
        <f t="shared" si="0"/>
        <v>9.61</v>
      </c>
      <c r="I33" s="7">
        <f t="shared" si="1"/>
        <v>0.18480769230769228</v>
      </c>
      <c r="K33">
        <f t="shared" si="2"/>
        <v>66</v>
      </c>
      <c r="M33" s="8">
        <f t="shared" si="3"/>
        <v>66</v>
      </c>
    </row>
    <row r="34" spans="1:13" x14ac:dyDescent="0.35">
      <c r="A34" s="2">
        <v>33</v>
      </c>
      <c r="B34" s="2" t="s">
        <v>724</v>
      </c>
      <c r="C34" s="2" t="s">
        <v>625</v>
      </c>
      <c r="D34" s="2" t="s">
        <v>700</v>
      </c>
      <c r="E34" s="3">
        <v>3.3</v>
      </c>
      <c r="F34" s="3">
        <v>46</v>
      </c>
      <c r="H34">
        <f t="shared" ref="H34:H65" si="4">IFERROR(((F34-MIN(F34/2,30)-4)*0.7)-$E34,0)</f>
        <v>10</v>
      </c>
      <c r="I34" s="7">
        <f t="shared" ref="I34:I65" si="5">H34/F34</f>
        <v>0.21739130434782608</v>
      </c>
      <c r="K34">
        <f t="shared" ref="K34:K65" si="6">ROUND(IF(E34&lt;=3.2,28+10*(E34),(23.8+E34)/0.45),0)</f>
        <v>60</v>
      </c>
      <c r="M34" s="8">
        <f t="shared" ref="M34:M65" si="7">MAX(K34,F34)</f>
        <v>60</v>
      </c>
    </row>
    <row r="35" spans="1:13" x14ac:dyDescent="0.35">
      <c r="A35" s="2">
        <v>34</v>
      </c>
      <c r="B35" s="2" t="s">
        <v>724</v>
      </c>
      <c r="C35" s="2" t="s">
        <v>726</v>
      </c>
      <c r="D35" s="2" t="s">
        <v>700</v>
      </c>
      <c r="E35" s="2"/>
      <c r="F35" s="3">
        <v>46</v>
      </c>
      <c r="H35">
        <f t="shared" si="4"/>
        <v>13.299999999999999</v>
      </c>
      <c r="I35" s="7">
        <f t="shared" si="5"/>
        <v>0.28913043478260869</v>
      </c>
      <c r="K35">
        <f t="shared" si="6"/>
        <v>28</v>
      </c>
      <c r="M35" s="8">
        <f t="shared" si="7"/>
        <v>46</v>
      </c>
    </row>
    <row r="36" spans="1:13" x14ac:dyDescent="0.35">
      <c r="A36" s="2">
        <v>35</v>
      </c>
      <c r="B36" s="2" t="s">
        <v>724</v>
      </c>
      <c r="C36" s="2" t="s">
        <v>727</v>
      </c>
      <c r="D36" s="2" t="s">
        <v>703</v>
      </c>
      <c r="E36" s="3">
        <v>3.14</v>
      </c>
      <c r="F36" s="3">
        <v>50</v>
      </c>
      <c r="H36">
        <f t="shared" si="4"/>
        <v>11.559999999999999</v>
      </c>
      <c r="I36" s="7">
        <f t="shared" si="5"/>
        <v>0.23119999999999996</v>
      </c>
      <c r="K36">
        <f t="shared" si="6"/>
        <v>59</v>
      </c>
      <c r="M36" s="8">
        <f t="shared" si="7"/>
        <v>59</v>
      </c>
    </row>
    <row r="37" spans="1:13" x14ac:dyDescent="0.35">
      <c r="A37" s="2">
        <v>36</v>
      </c>
      <c r="B37" s="2" t="s">
        <v>724</v>
      </c>
      <c r="C37" s="2" t="s">
        <v>728</v>
      </c>
      <c r="D37" s="2" t="s">
        <v>705</v>
      </c>
      <c r="E37" s="2"/>
      <c r="F37" s="3">
        <v>56</v>
      </c>
      <c r="H37">
        <f t="shared" si="4"/>
        <v>16.799999999999997</v>
      </c>
      <c r="I37" s="7">
        <f t="shared" si="5"/>
        <v>0.29999999999999993</v>
      </c>
      <c r="K37">
        <f t="shared" si="6"/>
        <v>28</v>
      </c>
      <c r="M37" s="8">
        <f t="shared" si="7"/>
        <v>56</v>
      </c>
    </row>
    <row r="38" spans="1:13" x14ac:dyDescent="0.35">
      <c r="A38" s="2">
        <v>37</v>
      </c>
      <c r="B38" s="2" t="s">
        <v>724</v>
      </c>
      <c r="C38" s="2" t="s">
        <v>621</v>
      </c>
      <c r="D38" s="2" t="s">
        <v>700</v>
      </c>
      <c r="E38" s="3">
        <v>4.24</v>
      </c>
      <c r="F38" s="3">
        <v>48</v>
      </c>
      <c r="H38">
        <f t="shared" si="4"/>
        <v>9.76</v>
      </c>
      <c r="I38" s="7">
        <f t="shared" si="5"/>
        <v>0.20333333333333334</v>
      </c>
      <c r="K38">
        <f t="shared" si="6"/>
        <v>62</v>
      </c>
      <c r="M38" s="8">
        <f t="shared" si="7"/>
        <v>62</v>
      </c>
    </row>
    <row r="39" spans="1:13" x14ac:dyDescent="0.35">
      <c r="A39" s="2">
        <v>38</v>
      </c>
      <c r="B39" s="2" t="s">
        <v>724</v>
      </c>
      <c r="C39" s="2" t="s">
        <v>729</v>
      </c>
      <c r="D39" s="2" t="s">
        <v>703</v>
      </c>
      <c r="E39" s="3">
        <v>4.24</v>
      </c>
      <c r="F39" s="3">
        <v>52</v>
      </c>
      <c r="H39">
        <f t="shared" si="4"/>
        <v>11.159999999999998</v>
      </c>
      <c r="I39" s="7">
        <f t="shared" si="5"/>
        <v>0.2146153846153846</v>
      </c>
      <c r="K39">
        <f t="shared" si="6"/>
        <v>62</v>
      </c>
      <c r="M39" s="8">
        <f t="shared" si="7"/>
        <v>62</v>
      </c>
    </row>
    <row r="40" spans="1:13" x14ac:dyDescent="0.35">
      <c r="A40" s="2">
        <v>39</v>
      </c>
      <c r="B40" s="2" t="s">
        <v>724</v>
      </c>
      <c r="C40" s="2" t="s">
        <v>730</v>
      </c>
      <c r="D40" s="2" t="s">
        <v>705</v>
      </c>
      <c r="E40" s="3">
        <v>10.23</v>
      </c>
      <c r="F40" s="3">
        <v>58</v>
      </c>
      <c r="H40">
        <f t="shared" si="4"/>
        <v>7.27</v>
      </c>
      <c r="I40" s="7">
        <f t="shared" si="5"/>
        <v>0.12534482758620688</v>
      </c>
      <c r="K40">
        <f t="shared" si="6"/>
        <v>76</v>
      </c>
      <c r="M40" s="8">
        <f t="shared" si="7"/>
        <v>76</v>
      </c>
    </row>
    <row r="41" spans="1:13" x14ac:dyDescent="0.35">
      <c r="A41" s="2">
        <v>40</v>
      </c>
      <c r="B41" s="2" t="s">
        <v>724</v>
      </c>
      <c r="C41" s="2" t="s">
        <v>622</v>
      </c>
      <c r="D41" s="2" t="s">
        <v>700</v>
      </c>
      <c r="E41" s="3">
        <v>3.63</v>
      </c>
      <c r="F41" s="3">
        <v>48</v>
      </c>
      <c r="H41">
        <f t="shared" si="4"/>
        <v>10.370000000000001</v>
      </c>
      <c r="I41" s="7">
        <f t="shared" si="5"/>
        <v>0.21604166666666669</v>
      </c>
      <c r="K41">
        <f t="shared" si="6"/>
        <v>61</v>
      </c>
      <c r="M41" s="8">
        <f t="shared" si="7"/>
        <v>61</v>
      </c>
    </row>
    <row r="42" spans="1:13" x14ac:dyDescent="0.35">
      <c r="A42" s="2">
        <v>41</v>
      </c>
      <c r="B42" s="2" t="s">
        <v>724</v>
      </c>
      <c r="C42" s="2" t="s">
        <v>731</v>
      </c>
      <c r="D42" s="2" t="s">
        <v>703</v>
      </c>
      <c r="E42" s="3">
        <v>3.63</v>
      </c>
      <c r="F42" s="3">
        <v>52</v>
      </c>
      <c r="H42">
        <f t="shared" si="4"/>
        <v>11.77</v>
      </c>
      <c r="I42" s="7">
        <f t="shared" si="5"/>
        <v>0.22634615384615384</v>
      </c>
      <c r="K42">
        <f t="shared" si="6"/>
        <v>61</v>
      </c>
      <c r="M42" s="8">
        <f t="shared" si="7"/>
        <v>61</v>
      </c>
    </row>
    <row r="43" spans="1:13" x14ac:dyDescent="0.35">
      <c r="A43" s="2">
        <v>42</v>
      </c>
      <c r="B43" s="2" t="s">
        <v>724</v>
      </c>
      <c r="C43" s="2" t="s">
        <v>732</v>
      </c>
      <c r="D43" s="2" t="s">
        <v>705</v>
      </c>
      <c r="E43" s="3">
        <v>6.21</v>
      </c>
      <c r="F43" s="3">
        <v>58</v>
      </c>
      <c r="H43">
        <f t="shared" si="4"/>
        <v>11.29</v>
      </c>
      <c r="I43" s="7">
        <f t="shared" si="5"/>
        <v>0.1946551724137931</v>
      </c>
      <c r="K43">
        <f t="shared" si="6"/>
        <v>67</v>
      </c>
      <c r="M43" s="8">
        <f t="shared" si="7"/>
        <v>67</v>
      </c>
    </row>
    <row r="44" spans="1:13" x14ac:dyDescent="0.35">
      <c r="A44" s="2">
        <v>43</v>
      </c>
      <c r="B44" s="2" t="s">
        <v>724</v>
      </c>
      <c r="C44" s="2" t="s">
        <v>623</v>
      </c>
      <c r="D44" s="2" t="s">
        <v>700</v>
      </c>
      <c r="E44" s="3">
        <v>3.49</v>
      </c>
      <c r="F44" s="3">
        <v>48</v>
      </c>
      <c r="H44">
        <f t="shared" si="4"/>
        <v>10.51</v>
      </c>
      <c r="I44" s="7">
        <f t="shared" si="5"/>
        <v>0.21895833333333334</v>
      </c>
      <c r="K44">
        <f t="shared" si="6"/>
        <v>61</v>
      </c>
      <c r="M44" s="8">
        <f t="shared" si="7"/>
        <v>61</v>
      </c>
    </row>
    <row r="45" spans="1:13" x14ac:dyDescent="0.35">
      <c r="A45" s="2">
        <v>44</v>
      </c>
      <c r="B45" s="2" t="s">
        <v>724</v>
      </c>
      <c r="C45" s="2" t="s">
        <v>733</v>
      </c>
      <c r="D45" s="2" t="s">
        <v>703</v>
      </c>
      <c r="E45" s="3">
        <v>3.49</v>
      </c>
      <c r="F45" s="3">
        <v>52</v>
      </c>
      <c r="H45">
        <f t="shared" si="4"/>
        <v>11.909999999999998</v>
      </c>
      <c r="I45" s="7">
        <f t="shared" si="5"/>
        <v>0.2290384615384615</v>
      </c>
      <c r="K45">
        <f t="shared" si="6"/>
        <v>61</v>
      </c>
      <c r="M45" s="8">
        <f t="shared" si="7"/>
        <v>61</v>
      </c>
    </row>
    <row r="46" spans="1:13" x14ac:dyDescent="0.35">
      <c r="A46" s="2">
        <v>45</v>
      </c>
      <c r="B46" s="2" t="s">
        <v>724</v>
      </c>
      <c r="C46" s="2" t="s">
        <v>734</v>
      </c>
      <c r="D46" s="2" t="s">
        <v>705</v>
      </c>
      <c r="E46" s="3">
        <v>5.0999999999999996</v>
      </c>
      <c r="F46" s="3">
        <v>58</v>
      </c>
      <c r="H46">
        <f t="shared" si="4"/>
        <v>12.4</v>
      </c>
      <c r="I46" s="7">
        <f t="shared" si="5"/>
        <v>0.21379310344827587</v>
      </c>
      <c r="K46">
        <f t="shared" si="6"/>
        <v>64</v>
      </c>
      <c r="M46" s="8">
        <f t="shared" si="7"/>
        <v>64</v>
      </c>
    </row>
    <row r="47" spans="1:13" x14ac:dyDescent="0.35">
      <c r="A47" s="2">
        <v>46</v>
      </c>
      <c r="B47" s="2" t="s">
        <v>724</v>
      </c>
      <c r="C47" s="2" t="s">
        <v>628</v>
      </c>
      <c r="D47" s="2" t="s">
        <v>700</v>
      </c>
      <c r="E47" s="3">
        <v>3.61</v>
      </c>
      <c r="F47" s="3">
        <v>48</v>
      </c>
      <c r="H47">
        <f t="shared" si="4"/>
        <v>10.39</v>
      </c>
      <c r="I47" s="7">
        <f t="shared" si="5"/>
        <v>0.21645833333333334</v>
      </c>
      <c r="K47">
        <f t="shared" si="6"/>
        <v>61</v>
      </c>
      <c r="M47" s="8">
        <f t="shared" si="7"/>
        <v>61</v>
      </c>
    </row>
    <row r="48" spans="1:13" x14ac:dyDescent="0.35">
      <c r="A48" s="2">
        <v>47</v>
      </c>
      <c r="B48" s="2" t="s">
        <v>724</v>
      </c>
      <c r="C48" s="2" t="s">
        <v>735</v>
      </c>
      <c r="D48" s="2" t="s">
        <v>703</v>
      </c>
      <c r="E48" s="3">
        <v>3.61</v>
      </c>
      <c r="F48" s="3">
        <v>52</v>
      </c>
      <c r="H48">
        <f t="shared" si="4"/>
        <v>11.79</v>
      </c>
      <c r="I48" s="7">
        <f t="shared" si="5"/>
        <v>0.22673076923076921</v>
      </c>
      <c r="K48">
        <f t="shared" si="6"/>
        <v>61</v>
      </c>
      <c r="M48" s="8">
        <f t="shared" si="7"/>
        <v>61</v>
      </c>
    </row>
    <row r="49" spans="1:13" x14ac:dyDescent="0.35">
      <c r="A49" s="2">
        <v>48</v>
      </c>
      <c r="B49" s="2" t="s">
        <v>724</v>
      </c>
      <c r="C49" s="2" t="s">
        <v>736</v>
      </c>
      <c r="D49" s="2" t="s">
        <v>705</v>
      </c>
      <c r="E49" s="3">
        <v>4.8600000000000003</v>
      </c>
      <c r="F49" s="3">
        <v>58</v>
      </c>
      <c r="H49">
        <f t="shared" si="4"/>
        <v>12.64</v>
      </c>
      <c r="I49" s="7">
        <f t="shared" si="5"/>
        <v>0.21793103448275863</v>
      </c>
      <c r="K49">
        <f t="shared" si="6"/>
        <v>64</v>
      </c>
      <c r="M49" s="8">
        <f t="shared" si="7"/>
        <v>64</v>
      </c>
    </row>
    <row r="50" spans="1:13" x14ac:dyDescent="0.35">
      <c r="A50" s="2">
        <v>49</v>
      </c>
      <c r="B50" s="2" t="s">
        <v>724</v>
      </c>
      <c r="C50" s="2" t="s">
        <v>629</v>
      </c>
      <c r="D50" s="2" t="s">
        <v>700</v>
      </c>
      <c r="E50" s="3">
        <v>3.33</v>
      </c>
      <c r="F50" s="3">
        <v>48</v>
      </c>
      <c r="H50">
        <f t="shared" si="4"/>
        <v>10.67</v>
      </c>
      <c r="I50" s="7">
        <f t="shared" si="5"/>
        <v>0.22229166666666667</v>
      </c>
      <c r="K50">
        <f t="shared" si="6"/>
        <v>60</v>
      </c>
      <c r="M50" s="8">
        <f t="shared" si="7"/>
        <v>60</v>
      </c>
    </row>
    <row r="51" spans="1:13" x14ac:dyDescent="0.35">
      <c r="A51" s="2">
        <v>50</v>
      </c>
      <c r="B51" s="2" t="s">
        <v>724</v>
      </c>
      <c r="C51" s="2" t="s">
        <v>737</v>
      </c>
      <c r="D51" s="2" t="s">
        <v>703</v>
      </c>
      <c r="E51" s="3">
        <v>3.33</v>
      </c>
      <c r="F51" s="3">
        <v>52</v>
      </c>
      <c r="H51">
        <f t="shared" si="4"/>
        <v>12.069999999999999</v>
      </c>
      <c r="I51" s="7">
        <f t="shared" si="5"/>
        <v>0.23211538461538458</v>
      </c>
      <c r="K51">
        <f t="shared" si="6"/>
        <v>60</v>
      </c>
      <c r="M51" s="8">
        <f t="shared" si="7"/>
        <v>60</v>
      </c>
    </row>
    <row r="52" spans="1:13" x14ac:dyDescent="0.35">
      <c r="A52" s="2">
        <v>51</v>
      </c>
      <c r="B52" s="2" t="s">
        <v>724</v>
      </c>
      <c r="C52" s="2" t="s">
        <v>738</v>
      </c>
      <c r="D52" s="2" t="s">
        <v>705</v>
      </c>
      <c r="E52" s="3">
        <v>5.01</v>
      </c>
      <c r="F52" s="3">
        <v>58</v>
      </c>
      <c r="H52">
        <f t="shared" si="4"/>
        <v>12.49</v>
      </c>
      <c r="I52" s="7">
        <f t="shared" si="5"/>
        <v>0.21534482758620691</v>
      </c>
      <c r="K52">
        <f t="shared" si="6"/>
        <v>64</v>
      </c>
      <c r="M52" s="8">
        <f t="shared" si="7"/>
        <v>64</v>
      </c>
    </row>
    <row r="53" spans="1:13" x14ac:dyDescent="0.35">
      <c r="A53" s="2">
        <v>52</v>
      </c>
      <c r="B53" s="2" t="s">
        <v>724</v>
      </c>
      <c r="C53" s="2" t="s">
        <v>739</v>
      </c>
      <c r="D53" s="2" t="s">
        <v>700</v>
      </c>
      <c r="E53" s="2"/>
      <c r="F53" s="3">
        <v>48</v>
      </c>
      <c r="H53">
        <f t="shared" si="4"/>
        <v>14</v>
      </c>
      <c r="I53" s="7">
        <f t="shared" si="5"/>
        <v>0.29166666666666669</v>
      </c>
      <c r="K53">
        <f t="shared" si="6"/>
        <v>28</v>
      </c>
      <c r="M53" s="8">
        <f t="shared" si="7"/>
        <v>48</v>
      </c>
    </row>
    <row r="54" spans="1:13" x14ac:dyDescent="0.35">
      <c r="A54" s="2">
        <v>53</v>
      </c>
      <c r="B54" s="2" t="s">
        <v>724</v>
      </c>
      <c r="C54" s="2" t="s">
        <v>740</v>
      </c>
      <c r="D54" s="2" t="s">
        <v>703</v>
      </c>
      <c r="E54" s="3">
        <v>3.2</v>
      </c>
      <c r="F54" s="3">
        <v>52</v>
      </c>
      <c r="H54">
        <f t="shared" si="4"/>
        <v>12.2</v>
      </c>
      <c r="I54" s="7">
        <f t="shared" si="5"/>
        <v>0.23461538461538461</v>
      </c>
      <c r="K54">
        <f t="shared" si="6"/>
        <v>60</v>
      </c>
      <c r="M54" s="8">
        <f t="shared" si="7"/>
        <v>60</v>
      </c>
    </row>
    <row r="55" spans="1:13" x14ac:dyDescent="0.35">
      <c r="A55" s="2">
        <v>54</v>
      </c>
      <c r="B55" s="2" t="s">
        <v>724</v>
      </c>
      <c r="C55" s="2" t="s">
        <v>741</v>
      </c>
      <c r="D55" s="2" t="s">
        <v>705</v>
      </c>
      <c r="E55" s="3">
        <v>4.21</v>
      </c>
      <c r="F55" s="3">
        <v>58</v>
      </c>
      <c r="H55">
        <f t="shared" si="4"/>
        <v>13.29</v>
      </c>
      <c r="I55" s="7">
        <f t="shared" si="5"/>
        <v>0.22913793103448274</v>
      </c>
      <c r="K55">
        <f t="shared" si="6"/>
        <v>62</v>
      </c>
      <c r="M55" s="8">
        <f t="shared" si="7"/>
        <v>62</v>
      </c>
    </row>
    <row r="56" spans="1:13" x14ac:dyDescent="0.35">
      <c r="A56" s="2">
        <v>55</v>
      </c>
      <c r="B56" s="2" t="s">
        <v>724</v>
      </c>
      <c r="C56" s="2" t="s">
        <v>742</v>
      </c>
      <c r="D56" s="2" t="s">
        <v>700</v>
      </c>
      <c r="E56" s="2"/>
      <c r="F56" s="3">
        <v>46</v>
      </c>
      <c r="H56">
        <f t="shared" si="4"/>
        <v>13.299999999999999</v>
      </c>
      <c r="I56" s="7">
        <f t="shared" si="5"/>
        <v>0.28913043478260869</v>
      </c>
      <c r="K56">
        <f t="shared" si="6"/>
        <v>28</v>
      </c>
      <c r="M56" s="8">
        <f t="shared" si="7"/>
        <v>46</v>
      </c>
    </row>
    <row r="57" spans="1:13" x14ac:dyDescent="0.35">
      <c r="A57" s="2">
        <v>56</v>
      </c>
      <c r="B57" s="2" t="s">
        <v>724</v>
      </c>
      <c r="C57" s="2" t="s">
        <v>743</v>
      </c>
      <c r="D57" s="2" t="s">
        <v>703</v>
      </c>
      <c r="E57" s="3">
        <v>3.19</v>
      </c>
      <c r="F57" s="3">
        <v>50</v>
      </c>
      <c r="H57">
        <f t="shared" si="4"/>
        <v>11.51</v>
      </c>
      <c r="I57" s="7">
        <f t="shared" si="5"/>
        <v>0.23019999999999999</v>
      </c>
      <c r="K57">
        <f t="shared" si="6"/>
        <v>60</v>
      </c>
      <c r="M57" s="8">
        <f t="shared" si="7"/>
        <v>60</v>
      </c>
    </row>
    <row r="58" spans="1:13" x14ac:dyDescent="0.35">
      <c r="A58" s="2">
        <v>57</v>
      </c>
      <c r="B58" s="2" t="s">
        <v>724</v>
      </c>
      <c r="C58" s="2" t="s">
        <v>744</v>
      </c>
      <c r="D58" s="2" t="s">
        <v>705</v>
      </c>
      <c r="E58" s="2"/>
      <c r="F58" s="3">
        <v>56</v>
      </c>
      <c r="H58">
        <f t="shared" si="4"/>
        <v>16.799999999999997</v>
      </c>
      <c r="I58" s="7">
        <f t="shared" si="5"/>
        <v>0.29999999999999993</v>
      </c>
      <c r="K58">
        <f t="shared" si="6"/>
        <v>28</v>
      </c>
      <c r="M58" s="8">
        <f t="shared" si="7"/>
        <v>56</v>
      </c>
    </row>
    <row r="59" spans="1:13" x14ac:dyDescent="0.35">
      <c r="A59" s="2">
        <v>58</v>
      </c>
      <c r="B59" s="2" t="s">
        <v>724</v>
      </c>
      <c r="C59" s="2" t="s">
        <v>639</v>
      </c>
      <c r="D59" s="2" t="s">
        <v>700</v>
      </c>
      <c r="E59" s="3">
        <v>3.22</v>
      </c>
      <c r="F59" s="3">
        <v>50</v>
      </c>
      <c r="H59">
        <f t="shared" si="4"/>
        <v>11.479999999999999</v>
      </c>
      <c r="I59" s="7">
        <f t="shared" si="5"/>
        <v>0.22959999999999997</v>
      </c>
      <c r="K59">
        <f t="shared" si="6"/>
        <v>60</v>
      </c>
      <c r="M59" s="8">
        <f t="shared" si="7"/>
        <v>60</v>
      </c>
    </row>
    <row r="60" spans="1:13" x14ac:dyDescent="0.35">
      <c r="A60" s="2">
        <v>59</v>
      </c>
      <c r="B60" s="2" t="s">
        <v>724</v>
      </c>
      <c r="C60" s="2" t="s">
        <v>745</v>
      </c>
      <c r="D60" s="2" t="s">
        <v>703</v>
      </c>
      <c r="E60" s="3">
        <v>3.22</v>
      </c>
      <c r="F60" s="3">
        <v>54</v>
      </c>
      <c r="H60">
        <f t="shared" si="4"/>
        <v>12.879999999999997</v>
      </c>
      <c r="I60" s="7">
        <f t="shared" si="5"/>
        <v>0.23851851851851846</v>
      </c>
      <c r="K60">
        <f t="shared" si="6"/>
        <v>60</v>
      </c>
      <c r="M60" s="8">
        <f t="shared" si="7"/>
        <v>60</v>
      </c>
    </row>
    <row r="61" spans="1:13" x14ac:dyDescent="0.35">
      <c r="A61" s="2">
        <v>60</v>
      </c>
      <c r="B61" s="2" t="s">
        <v>724</v>
      </c>
      <c r="C61" s="2" t="s">
        <v>638</v>
      </c>
      <c r="D61" s="2" t="s">
        <v>700</v>
      </c>
      <c r="E61" s="3">
        <v>4.04</v>
      </c>
      <c r="F61" s="3">
        <v>50</v>
      </c>
      <c r="H61">
        <f t="shared" si="4"/>
        <v>10.66</v>
      </c>
      <c r="I61" s="7">
        <f t="shared" si="5"/>
        <v>0.2132</v>
      </c>
      <c r="K61">
        <f t="shared" si="6"/>
        <v>62</v>
      </c>
      <c r="M61" s="8">
        <f t="shared" si="7"/>
        <v>62</v>
      </c>
    </row>
    <row r="62" spans="1:13" x14ac:dyDescent="0.35">
      <c r="A62" s="2">
        <v>61</v>
      </c>
      <c r="B62" s="2" t="s">
        <v>724</v>
      </c>
      <c r="C62" s="2" t="s">
        <v>746</v>
      </c>
      <c r="D62" s="2" t="s">
        <v>703</v>
      </c>
      <c r="E62" s="3">
        <v>4.04</v>
      </c>
      <c r="F62" s="3">
        <v>54</v>
      </c>
      <c r="H62">
        <f t="shared" si="4"/>
        <v>12.059999999999999</v>
      </c>
      <c r="I62" s="7">
        <f t="shared" si="5"/>
        <v>0.2233333333333333</v>
      </c>
      <c r="K62">
        <f t="shared" si="6"/>
        <v>62</v>
      </c>
      <c r="M62" s="8">
        <f t="shared" si="7"/>
        <v>62</v>
      </c>
    </row>
    <row r="63" spans="1:13" x14ac:dyDescent="0.35">
      <c r="A63" s="2">
        <v>62</v>
      </c>
      <c r="B63" s="2" t="s">
        <v>378</v>
      </c>
      <c r="C63" s="2" t="s">
        <v>747</v>
      </c>
      <c r="D63" s="2" t="s">
        <v>700</v>
      </c>
      <c r="E63" s="3">
        <v>3.02</v>
      </c>
      <c r="F63" s="3">
        <v>48</v>
      </c>
      <c r="H63">
        <f t="shared" si="4"/>
        <v>10.98</v>
      </c>
      <c r="I63" s="7">
        <f t="shared" si="5"/>
        <v>0.22875000000000001</v>
      </c>
      <c r="K63">
        <f t="shared" si="6"/>
        <v>58</v>
      </c>
      <c r="M63" s="8">
        <f t="shared" si="7"/>
        <v>58</v>
      </c>
    </row>
    <row r="64" spans="1:13" x14ac:dyDescent="0.35">
      <c r="A64" s="2">
        <v>63</v>
      </c>
      <c r="B64" s="2" t="s">
        <v>378</v>
      </c>
      <c r="C64" s="2" t="s">
        <v>748</v>
      </c>
      <c r="D64" s="2" t="s">
        <v>703</v>
      </c>
      <c r="E64" s="3">
        <v>4.24</v>
      </c>
      <c r="F64" s="3">
        <v>52</v>
      </c>
      <c r="H64">
        <f t="shared" si="4"/>
        <v>11.159999999999998</v>
      </c>
      <c r="I64" s="7">
        <f t="shared" si="5"/>
        <v>0.2146153846153846</v>
      </c>
      <c r="K64">
        <f t="shared" si="6"/>
        <v>62</v>
      </c>
      <c r="M64" s="8">
        <f t="shared" si="7"/>
        <v>62</v>
      </c>
    </row>
    <row r="65" spans="1:13" x14ac:dyDescent="0.35">
      <c r="A65" s="2">
        <v>64</v>
      </c>
      <c r="B65" s="2" t="s">
        <v>378</v>
      </c>
      <c r="C65" s="2" t="s">
        <v>749</v>
      </c>
      <c r="D65" s="2" t="s">
        <v>700</v>
      </c>
      <c r="E65" s="3">
        <v>1.33</v>
      </c>
      <c r="F65" s="3">
        <v>46</v>
      </c>
      <c r="H65">
        <f t="shared" si="4"/>
        <v>11.969999999999999</v>
      </c>
      <c r="I65" s="7">
        <f t="shared" si="5"/>
        <v>0.26021739130434779</v>
      </c>
      <c r="K65">
        <f t="shared" si="6"/>
        <v>41</v>
      </c>
      <c r="M65" s="8">
        <f t="shared" si="7"/>
        <v>46</v>
      </c>
    </row>
    <row r="66" spans="1:13" x14ac:dyDescent="0.35">
      <c r="A66" s="2">
        <v>65</v>
      </c>
      <c r="B66" s="2" t="s">
        <v>378</v>
      </c>
      <c r="C66" s="2" t="s">
        <v>750</v>
      </c>
      <c r="D66" s="2" t="s">
        <v>703</v>
      </c>
      <c r="E66" s="3">
        <v>2.58</v>
      </c>
      <c r="F66" s="3">
        <v>50</v>
      </c>
      <c r="H66">
        <f t="shared" ref="H66:H97" si="8">IFERROR(((F66-MIN(F66/2,30)-4)*0.7)-$E66,0)</f>
        <v>12.12</v>
      </c>
      <c r="I66" s="7">
        <f t="shared" ref="I66:I97" si="9">H66/F66</f>
        <v>0.24239999999999998</v>
      </c>
      <c r="K66">
        <f t="shared" ref="K66:K97" si="10">ROUND(IF(E66&lt;=3.2,28+10*(E66),(23.8+E66)/0.45),0)</f>
        <v>54</v>
      </c>
      <c r="M66" s="8">
        <f t="shared" ref="M66:M97" si="11">MAX(K66,F66)</f>
        <v>54</v>
      </c>
    </row>
    <row r="67" spans="1:13" x14ac:dyDescent="0.35">
      <c r="A67" s="2">
        <v>66</v>
      </c>
      <c r="B67" s="2" t="s">
        <v>378</v>
      </c>
      <c r="C67" s="2" t="s">
        <v>751</v>
      </c>
      <c r="D67" s="2" t="s">
        <v>700</v>
      </c>
      <c r="E67" s="3">
        <v>5.19</v>
      </c>
      <c r="F67" s="3">
        <v>48</v>
      </c>
      <c r="H67">
        <f t="shared" si="8"/>
        <v>8.8099999999999987</v>
      </c>
      <c r="I67" s="7">
        <f t="shared" si="9"/>
        <v>0.18354166666666663</v>
      </c>
      <c r="K67">
        <f t="shared" si="10"/>
        <v>64</v>
      </c>
      <c r="M67" s="8">
        <f t="shared" si="11"/>
        <v>64</v>
      </c>
    </row>
    <row r="68" spans="1:13" x14ac:dyDescent="0.35">
      <c r="A68" s="2">
        <v>67</v>
      </c>
      <c r="B68" s="2" t="s">
        <v>378</v>
      </c>
      <c r="C68" s="2" t="s">
        <v>752</v>
      </c>
      <c r="D68" s="2" t="s">
        <v>703</v>
      </c>
      <c r="E68" s="3">
        <v>2.91</v>
      </c>
      <c r="F68" s="3">
        <v>52</v>
      </c>
      <c r="H68">
        <f t="shared" si="8"/>
        <v>12.489999999999998</v>
      </c>
      <c r="I68" s="7">
        <f t="shared" si="9"/>
        <v>0.24019230769230765</v>
      </c>
      <c r="K68">
        <f t="shared" si="10"/>
        <v>57</v>
      </c>
      <c r="M68" s="8">
        <f t="shared" si="11"/>
        <v>57</v>
      </c>
    </row>
    <row r="69" spans="1:13" x14ac:dyDescent="0.35">
      <c r="A69" s="2">
        <v>68</v>
      </c>
      <c r="B69" s="2" t="s">
        <v>378</v>
      </c>
      <c r="C69" s="2" t="s">
        <v>753</v>
      </c>
      <c r="D69" s="2" t="s">
        <v>700</v>
      </c>
      <c r="E69" s="3">
        <v>2.36</v>
      </c>
      <c r="F69" s="3">
        <v>46</v>
      </c>
      <c r="H69">
        <f t="shared" si="8"/>
        <v>10.94</v>
      </c>
      <c r="I69" s="7">
        <f t="shared" si="9"/>
        <v>0.23782608695652172</v>
      </c>
      <c r="K69">
        <f t="shared" si="10"/>
        <v>52</v>
      </c>
      <c r="M69" s="8">
        <f t="shared" si="11"/>
        <v>52</v>
      </c>
    </row>
    <row r="70" spans="1:13" x14ac:dyDescent="0.35">
      <c r="A70" s="2">
        <v>69</v>
      </c>
      <c r="B70" s="2" t="s">
        <v>378</v>
      </c>
      <c r="C70" s="2" t="s">
        <v>754</v>
      </c>
      <c r="D70" s="2" t="s">
        <v>703</v>
      </c>
      <c r="E70" s="3">
        <v>3.11</v>
      </c>
      <c r="F70" s="3">
        <v>50</v>
      </c>
      <c r="H70">
        <f t="shared" si="8"/>
        <v>11.59</v>
      </c>
      <c r="I70" s="7">
        <f t="shared" si="9"/>
        <v>0.23180000000000001</v>
      </c>
      <c r="K70">
        <f t="shared" si="10"/>
        <v>59</v>
      </c>
      <c r="M70" s="8">
        <f t="shared" si="11"/>
        <v>59</v>
      </c>
    </row>
    <row r="71" spans="1:13" x14ac:dyDescent="0.35">
      <c r="A71" s="2">
        <v>70</v>
      </c>
      <c r="B71" s="2" t="s">
        <v>378</v>
      </c>
      <c r="C71" s="2" t="s">
        <v>755</v>
      </c>
      <c r="D71" s="2" t="s">
        <v>700</v>
      </c>
      <c r="E71" s="2"/>
      <c r="F71" s="3">
        <v>48</v>
      </c>
      <c r="H71">
        <f t="shared" si="8"/>
        <v>14</v>
      </c>
      <c r="I71" s="7">
        <f t="shared" si="9"/>
        <v>0.29166666666666669</v>
      </c>
      <c r="K71">
        <f t="shared" si="10"/>
        <v>28</v>
      </c>
      <c r="M71" s="8">
        <f t="shared" si="11"/>
        <v>48</v>
      </c>
    </row>
    <row r="72" spans="1:13" x14ac:dyDescent="0.35">
      <c r="A72" s="2">
        <v>71</v>
      </c>
      <c r="B72" s="2" t="s">
        <v>378</v>
      </c>
      <c r="C72" s="2" t="s">
        <v>756</v>
      </c>
      <c r="D72" s="2" t="s">
        <v>703</v>
      </c>
      <c r="E72" s="3">
        <v>3.61</v>
      </c>
      <c r="F72" s="3">
        <v>52</v>
      </c>
      <c r="H72">
        <f t="shared" si="8"/>
        <v>11.79</v>
      </c>
      <c r="I72" s="7">
        <f t="shared" si="9"/>
        <v>0.22673076923076921</v>
      </c>
      <c r="K72">
        <f t="shared" si="10"/>
        <v>61</v>
      </c>
      <c r="M72" s="8">
        <f t="shared" si="11"/>
        <v>61</v>
      </c>
    </row>
    <row r="73" spans="1:13" x14ac:dyDescent="0.35">
      <c r="A73" s="2">
        <v>72</v>
      </c>
      <c r="B73" s="2" t="s">
        <v>378</v>
      </c>
      <c r="C73" s="2" t="s">
        <v>757</v>
      </c>
      <c r="D73" s="2" t="s">
        <v>700</v>
      </c>
      <c r="E73" s="3">
        <v>5.19</v>
      </c>
      <c r="F73" s="3">
        <v>46</v>
      </c>
      <c r="H73">
        <f t="shared" si="8"/>
        <v>8.11</v>
      </c>
      <c r="I73" s="7">
        <f t="shared" si="9"/>
        <v>0.17630434782608695</v>
      </c>
      <c r="K73">
        <f t="shared" si="10"/>
        <v>64</v>
      </c>
      <c r="M73" s="8">
        <f t="shared" si="11"/>
        <v>64</v>
      </c>
    </row>
    <row r="74" spans="1:13" x14ac:dyDescent="0.35">
      <c r="A74" s="2">
        <v>73</v>
      </c>
      <c r="B74" s="2" t="s">
        <v>378</v>
      </c>
      <c r="C74" s="2" t="s">
        <v>758</v>
      </c>
      <c r="D74" s="2" t="s">
        <v>703</v>
      </c>
      <c r="E74" s="3">
        <v>2.91</v>
      </c>
      <c r="F74" s="3">
        <v>50</v>
      </c>
      <c r="H74">
        <f t="shared" si="8"/>
        <v>11.79</v>
      </c>
      <c r="I74" s="7">
        <f t="shared" si="9"/>
        <v>0.23579999999999998</v>
      </c>
      <c r="K74">
        <f t="shared" si="10"/>
        <v>57</v>
      </c>
      <c r="M74" s="8">
        <f t="shared" si="11"/>
        <v>57</v>
      </c>
    </row>
    <row r="75" spans="1:13" x14ac:dyDescent="0.35">
      <c r="A75" s="2">
        <v>74</v>
      </c>
      <c r="B75" s="2" t="s">
        <v>378</v>
      </c>
      <c r="C75" s="2" t="s">
        <v>759</v>
      </c>
      <c r="D75" s="2" t="s">
        <v>700</v>
      </c>
      <c r="E75" s="3">
        <v>5.19</v>
      </c>
      <c r="F75" s="3">
        <v>54</v>
      </c>
      <c r="H75">
        <f t="shared" si="8"/>
        <v>10.909999999999997</v>
      </c>
      <c r="I75" s="7">
        <f t="shared" si="9"/>
        <v>0.20203703703703699</v>
      </c>
      <c r="K75">
        <f t="shared" si="10"/>
        <v>64</v>
      </c>
      <c r="M75" s="8">
        <f t="shared" si="11"/>
        <v>64</v>
      </c>
    </row>
    <row r="76" spans="1:13" x14ac:dyDescent="0.35">
      <c r="A76" s="2">
        <v>75</v>
      </c>
      <c r="B76" s="2" t="s">
        <v>378</v>
      </c>
      <c r="C76" s="2" t="s">
        <v>760</v>
      </c>
      <c r="D76" s="2" t="s">
        <v>703</v>
      </c>
      <c r="E76" s="3">
        <v>3.63</v>
      </c>
      <c r="F76" s="3">
        <v>58</v>
      </c>
      <c r="H76">
        <f t="shared" si="8"/>
        <v>13.870000000000001</v>
      </c>
      <c r="I76" s="7">
        <f t="shared" si="9"/>
        <v>0.23913793103448278</v>
      </c>
      <c r="K76">
        <f t="shared" si="10"/>
        <v>61</v>
      </c>
      <c r="M76" s="8">
        <f t="shared" si="11"/>
        <v>61</v>
      </c>
    </row>
    <row r="77" spans="1:13" x14ac:dyDescent="0.35">
      <c r="A77" s="2">
        <v>76</v>
      </c>
      <c r="B77" s="2" t="s">
        <v>378</v>
      </c>
      <c r="C77" s="2" t="s">
        <v>761</v>
      </c>
      <c r="D77" s="2" t="s">
        <v>700</v>
      </c>
      <c r="E77" s="2"/>
      <c r="F77" s="3">
        <v>50</v>
      </c>
      <c r="H77">
        <f t="shared" si="8"/>
        <v>14.7</v>
      </c>
      <c r="I77" s="7">
        <f t="shared" si="9"/>
        <v>0.29399999999999998</v>
      </c>
      <c r="K77">
        <f t="shared" si="10"/>
        <v>28</v>
      </c>
      <c r="M77" s="8">
        <f t="shared" si="11"/>
        <v>50</v>
      </c>
    </row>
    <row r="78" spans="1:13" x14ac:dyDescent="0.35">
      <c r="A78" s="2">
        <v>77</v>
      </c>
      <c r="B78" s="2" t="s">
        <v>378</v>
      </c>
      <c r="C78" s="2" t="s">
        <v>762</v>
      </c>
      <c r="D78" s="2" t="s">
        <v>703</v>
      </c>
      <c r="E78" s="3">
        <v>2.92</v>
      </c>
      <c r="F78" s="3">
        <v>54</v>
      </c>
      <c r="H78">
        <f t="shared" si="8"/>
        <v>13.179999999999998</v>
      </c>
      <c r="I78" s="7">
        <f t="shared" si="9"/>
        <v>0.24407407407407403</v>
      </c>
      <c r="K78">
        <f t="shared" si="10"/>
        <v>57</v>
      </c>
      <c r="M78" s="8">
        <f t="shared" si="11"/>
        <v>57</v>
      </c>
    </row>
    <row r="79" spans="1:13" x14ac:dyDescent="0.35">
      <c r="A79" s="2">
        <v>78</v>
      </c>
      <c r="B79" s="2" t="s">
        <v>378</v>
      </c>
      <c r="C79" s="2" t="s">
        <v>722</v>
      </c>
      <c r="D79" s="2" t="s">
        <v>700</v>
      </c>
      <c r="E79" s="3">
        <v>4.25</v>
      </c>
      <c r="F79" s="3">
        <v>50</v>
      </c>
      <c r="H79">
        <f t="shared" si="8"/>
        <v>10.45</v>
      </c>
      <c r="I79" s="7">
        <f t="shared" si="9"/>
        <v>0.20899999999999999</v>
      </c>
      <c r="K79">
        <f t="shared" si="10"/>
        <v>62</v>
      </c>
      <c r="M79" s="8">
        <f t="shared" si="11"/>
        <v>62</v>
      </c>
    </row>
    <row r="80" spans="1:13" x14ac:dyDescent="0.35">
      <c r="A80" s="2">
        <v>79</v>
      </c>
      <c r="B80" s="2" t="s">
        <v>378</v>
      </c>
      <c r="C80" s="2" t="s">
        <v>763</v>
      </c>
      <c r="D80" s="2" t="s">
        <v>703</v>
      </c>
      <c r="E80" s="3">
        <v>3.3</v>
      </c>
      <c r="F80" s="3">
        <v>54</v>
      </c>
      <c r="H80">
        <f t="shared" si="8"/>
        <v>12.799999999999997</v>
      </c>
      <c r="I80" s="7">
        <f t="shared" si="9"/>
        <v>0.23703703703703699</v>
      </c>
      <c r="K80">
        <f t="shared" si="10"/>
        <v>60</v>
      </c>
      <c r="M80" s="8">
        <f t="shared" si="11"/>
        <v>60</v>
      </c>
    </row>
    <row r="81" spans="1:13" x14ac:dyDescent="0.35">
      <c r="A81" s="2">
        <v>80</v>
      </c>
      <c r="B81" s="2" t="s">
        <v>764</v>
      </c>
      <c r="C81" s="2" t="s">
        <v>765</v>
      </c>
      <c r="D81" s="2" t="s">
        <v>700</v>
      </c>
      <c r="E81" s="3">
        <v>3.02</v>
      </c>
      <c r="F81" s="3">
        <v>52</v>
      </c>
      <c r="H81">
        <f t="shared" si="8"/>
        <v>12.379999999999999</v>
      </c>
      <c r="I81" s="7">
        <f t="shared" si="9"/>
        <v>0.23807692307692305</v>
      </c>
      <c r="K81">
        <f t="shared" si="10"/>
        <v>58</v>
      </c>
      <c r="M81" s="8">
        <f t="shared" si="11"/>
        <v>58</v>
      </c>
    </row>
    <row r="82" spans="1:13" x14ac:dyDescent="0.35">
      <c r="A82" s="2">
        <v>81</v>
      </c>
      <c r="B82" s="2" t="s">
        <v>764</v>
      </c>
      <c r="C82" s="2" t="s">
        <v>766</v>
      </c>
      <c r="D82" s="2" t="s">
        <v>703</v>
      </c>
      <c r="E82" s="3">
        <v>4.24</v>
      </c>
      <c r="F82" s="3">
        <v>56</v>
      </c>
      <c r="H82">
        <f t="shared" si="8"/>
        <v>12.559999999999997</v>
      </c>
      <c r="I82" s="7">
        <f t="shared" si="9"/>
        <v>0.22428571428571423</v>
      </c>
      <c r="K82">
        <f t="shared" si="10"/>
        <v>62</v>
      </c>
      <c r="M82" s="8">
        <f t="shared" si="11"/>
        <v>62</v>
      </c>
    </row>
    <row r="83" spans="1:13" x14ac:dyDescent="0.35">
      <c r="A83" s="2">
        <v>82</v>
      </c>
      <c r="B83" s="2" t="s">
        <v>764</v>
      </c>
      <c r="C83" s="2" t="s">
        <v>767</v>
      </c>
      <c r="D83" s="2" t="s">
        <v>705</v>
      </c>
      <c r="E83" s="3">
        <v>10.23</v>
      </c>
      <c r="F83" s="3">
        <v>62</v>
      </c>
      <c r="H83">
        <f t="shared" si="8"/>
        <v>9.3699999999999974</v>
      </c>
      <c r="I83" s="7">
        <f t="shared" si="9"/>
        <v>0.15112903225806448</v>
      </c>
      <c r="K83">
        <f t="shared" si="10"/>
        <v>76</v>
      </c>
      <c r="M83" s="8">
        <f t="shared" si="11"/>
        <v>76</v>
      </c>
    </row>
    <row r="84" spans="1:13" x14ac:dyDescent="0.35">
      <c r="A84" s="2">
        <v>83</v>
      </c>
      <c r="B84" s="2" t="s">
        <v>764</v>
      </c>
      <c r="C84" s="2" t="s">
        <v>768</v>
      </c>
      <c r="D84" s="2" t="s">
        <v>700</v>
      </c>
      <c r="E84" s="3">
        <v>1.33</v>
      </c>
      <c r="F84" s="3">
        <v>50</v>
      </c>
      <c r="H84">
        <f t="shared" si="8"/>
        <v>13.37</v>
      </c>
      <c r="I84" s="7">
        <f t="shared" si="9"/>
        <v>0.26739999999999997</v>
      </c>
      <c r="K84">
        <f t="shared" si="10"/>
        <v>41</v>
      </c>
      <c r="M84" s="8">
        <f t="shared" si="11"/>
        <v>50</v>
      </c>
    </row>
    <row r="85" spans="1:13" x14ac:dyDescent="0.35">
      <c r="A85" s="2">
        <v>84</v>
      </c>
      <c r="B85" s="2" t="s">
        <v>764</v>
      </c>
      <c r="C85" s="2" t="s">
        <v>769</v>
      </c>
      <c r="D85" s="2" t="s">
        <v>703</v>
      </c>
      <c r="E85" s="3">
        <v>2.58</v>
      </c>
      <c r="F85" s="3">
        <v>54</v>
      </c>
      <c r="H85">
        <f t="shared" si="8"/>
        <v>13.519999999999998</v>
      </c>
      <c r="I85" s="7">
        <f t="shared" si="9"/>
        <v>0.25037037037037035</v>
      </c>
      <c r="K85">
        <f t="shared" si="10"/>
        <v>54</v>
      </c>
      <c r="M85" s="8">
        <f t="shared" si="11"/>
        <v>54</v>
      </c>
    </row>
    <row r="86" spans="1:13" x14ac:dyDescent="0.35">
      <c r="A86" s="2">
        <v>85</v>
      </c>
      <c r="B86" s="2" t="s">
        <v>764</v>
      </c>
      <c r="C86" s="2" t="s">
        <v>770</v>
      </c>
      <c r="D86" s="2" t="s">
        <v>705</v>
      </c>
      <c r="E86" s="2"/>
      <c r="F86" s="3">
        <v>60</v>
      </c>
      <c r="H86">
        <f t="shared" si="8"/>
        <v>18.2</v>
      </c>
      <c r="I86" s="7">
        <f t="shared" si="9"/>
        <v>0.30333333333333334</v>
      </c>
      <c r="K86">
        <f t="shared" si="10"/>
        <v>28</v>
      </c>
      <c r="M86" s="8">
        <f t="shared" si="11"/>
        <v>60</v>
      </c>
    </row>
    <row r="87" spans="1:13" x14ac:dyDescent="0.35">
      <c r="A87" s="2">
        <v>86</v>
      </c>
      <c r="B87" s="2" t="s">
        <v>764</v>
      </c>
      <c r="C87" s="2" t="s">
        <v>771</v>
      </c>
      <c r="D87" s="2" t="s">
        <v>700</v>
      </c>
      <c r="E87" s="3">
        <v>5.19</v>
      </c>
      <c r="F87" s="3">
        <v>52</v>
      </c>
      <c r="H87">
        <f t="shared" si="8"/>
        <v>10.209999999999997</v>
      </c>
      <c r="I87" s="7">
        <f t="shared" si="9"/>
        <v>0.19634615384615378</v>
      </c>
      <c r="K87">
        <f t="shared" si="10"/>
        <v>64</v>
      </c>
      <c r="M87" s="8">
        <f t="shared" si="11"/>
        <v>64</v>
      </c>
    </row>
    <row r="88" spans="1:13" x14ac:dyDescent="0.35">
      <c r="A88" s="2">
        <v>87</v>
      </c>
      <c r="B88" s="2" t="s">
        <v>764</v>
      </c>
      <c r="C88" s="2" t="s">
        <v>772</v>
      </c>
      <c r="D88" s="2" t="s">
        <v>703</v>
      </c>
      <c r="E88" s="3">
        <v>2.91</v>
      </c>
      <c r="F88" s="3">
        <v>56</v>
      </c>
      <c r="H88">
        <f t="shared" si="8"/>
        <v>13.889999999999997</v>
      </c>
      <c r="I88" s="7">
        <f t="shared" si="9"/>
        <v>0.24803571428571422</v>
      </c>
      <c r="K88">
        <f t="shared" si="10"/>
        <v>57</v>
      </c>
      <c r="M88" s="8">
        <f t="shared" si="11"/>
        <v>57</v>
      </c>
    </row>
    <row r="89" spans="1:13" x14ac:dyDescent="0.35">
      <c r="A89" s="2">
        <v>88</v>
      </c>
      <c r="B89" s="2" t="s">
        <v>764</v>
      </c>
      <c r="C89" s="2" t="s">
        <v>773</v>
      </c>
      <c r="D89" s="2" t="s">
        <v>705</v>
      </c>
      <c r="E89" s="2"/>
      <c r="F89" s="3">
        <v>62</v>
      </c>
      <c r="H89">
        <f t="shared" si="8"/>
        <v>19.599999999999998</v>
      </c>
      <c r="I89" s="7">
        <f t="shared" si="9"/>
        <v>0.31612903225806449</v>
      </c>
      <c r="K89">
        <f t="shared" si="10"/>
        <v>28</v>
      </c>
      <c r="M89" s="8">
        <f t="shared" si="11"/>
        <v>62</v>
      </c>
    </row>
    <row r="90" spans="1:13" x14ac:dyDescent="0.35">
      <c r="A90" s="2">
        <v>89</v>
      </c>
      <c r="B90" s="2" t="s">
        <v>764</v>
      </c>
      <c r="C90" s="2" t="s">
        <v>774</v>
      </c>
      <c r="D90" s="2" t="s">
        <v>700</v>
      </c>
      <c r="E90" s="3">
        <v>2.36</v>
      </c>
      <c r="F90" s="3">
        <v>50</v>
      </c>
      <c r="H90">
        <f t="shared" si="8"/>
        <v>12.34</v>
      </c>
      <c r="I90" s="7">
        <f t="shared" si="9"/>
        <v>0.24679999999999999</v>
      </c>
      <c r="K90">
        <f t="shared" si="10"/>
        <v>52</v>
      </c>
      <c r="M90" s="8">
        <f t="shared" si="11"/>
        <v>52</v>
      </c>
    </row>
    <row r="91" spans="1:13" x14ac:dyDescent="0.35">
      <c r="A91" s="2">
        <v>90</v>
      </c>
      <c r="B91" s="2" t="s">
        <v>764</v>
      </c>
      <c r="C91" s="2" t="s">
        <v>775</v>
      </c>
      <c r="D91" s="2" t="s">
        <v>703</v>
      </c>
      <c r="E91" s="3">
        <v>3.11</v>
      </c>
      <c r="F91" s="3">
        <v>54</v>
      </c>
      <c r="H91">
        <f t="shared" si="8"/>
        <v>12.989999999999998</v>
      </c>
      <c r="I91" s="7">
        <f t="shared" si="9"/>
        <v>0.24055555555555552</v>
      </c>
      <c r="K91">
        <f t="shared" si="10"/>
        <v>59</v>
      </c>
      <c r="M91" s="8">
        <f t="shared" si="11"/>
        <v>59</v>
      </c>
    </row>
    <row r="92" spans="1:13" x14ac:dyDescent="0.35">
      <c r="A92" s="2">
        <v>91</v>
      </c>
      <c r="B92" s="2" t="s">
        <v>764</v>
      </c>
      <c r="C92" s="2" t="s">
        <v>776</v>
      </c>
      <c r="D92" s="2" t="s">
        <v>705</v>
      </c>
      <c r="E92" s="2"/>
      <c r="F92" s="3">
        <v>60</v>
      </c>
      <c r="H92">
        <f t="shared" si="8"/>
        <v>18.2</v>
      </c>
      <c r="I92" s="7">
        <f t="shared" si="9"/>
        <v>0.30333333333333334</v>
      </c>
      <c r="K92">
        <f t="shared" si="10"/>
        <v>28</v>
      </c>
      <c r="M92" s="8">
        <f t="shared" si="11"/>
        <v>60</v>
      </c>
    </row>
    <row r="93" spans="1:13" x14ac:dyDescent="0.35">
      <c r="A93" s="2">
        <v>92</v>
      </c>
      <c r="B93" s="2" t="s">
        <v>764</v>
      </c>
      <c r="C93" s="2" t="s">
        <v>777</v>
      </c>
      <c r="D93" s="2" t="s">
        <v>700</v>
      </c>
      <c r="E93" s="2"/>
      <c r="F93" s="3">
        <v>52</v>
      </c>
      <c r="H93">
        <f t="shared" si="8"/>
        <v>15.399999999999999</v>
      </c>
      <c r="I93" s="7">
        <f t="shared" si="9"/>
        <v>0.2961538461538461</v>
      </c>
      <c r="K93">
        <f t="shared" si="10"/>
        <v>28</v>
      </c>
      <c r="M93" s="8">
        <f t="shared" si="11"/>
        <v>52</v>
      </c>
    </row>
    <row r="94" spans="1:13" x14ac:dyDescent="0.35">
      <c r="A94" s="2">
        <v>93</v>
      </c>
      <c r="B94" s="2" t="s">
        <v>764</v>
      </c>
      <c r="C94" s="2" t="s">
        <v>778</v>
      </c>
      <c r="D94" s="2" t="s">
        <v>703</v>
      </c>
      <c r="E94" s="3">
        <v>3.61</v>
      </c>
      <c r="F94" s="3">
        <v>56</v>
      </c>
      <c r="H94">
        <f t="shared" si="8"/>
        <v>13.189999999999998</v>
      </c>
      <c r="I94" s="7">
        <f t="shared" si="9"/>
        <v>0.23553571428571424</v>
      </c>
      <c r="K94">
        <f t="shared" si="10"/>
        <v>61</v>
      </c>
      <c r="M94" s="8">
        <f t="shared" si="11"/>
        <v>61</v>
      </c>
    </row>
    <row r="95" spans="1:13" x14ac:dyDescent="0.35">
      <c r="A95" s="2">
        <v>94</v>
      </c>
      <c r="B95" s="2" t="s">
        <v>764</v>
      </c>
      <c r="C95" s="2" t="s">
        <v>779</v>
      </c>
      <c r="D95" s="2" t="s">
        <v>705</v>
      </c>
      <c r="E95" s="3">
        <v>4.8600000000000003</v>
      </c>
      <c r="F95" s="3">
        <v>62</v>
      </c>
      <c r="H95">
        <f t="shared" si="8"/>
        <v>14.739999999999998</v>
      </c>
      <c r="I95" s="7">
        <f t="shared" si="9"/>
        <v>0.23774193548387093</v>
      </c>
      <c r="K95">
        <f t="shared" si="10"/>
        <v>64</v>
      </c>
      <c r="M95" s="8">
        <f t="shared" si="11"/>
        <v>64</v>
      </c>
    </row>
    <row r="96" spans="1:13" x14ac:dyDescent="0.35">
      <c r="A96" s="2">
        <v>95</v>
      </c>
      <c r="B96" s="2" t="s">
        <v>764</v>
      </c>
      <c r="C96" s="2" t="s">
        <v>780</v>
      </c>
      <c r="D96" s="2" t="s">
        <v>700</v>
      </c>
      <c r="E96" s="3">
        <v>5.19</v>
      </c>
      <c r="F96" s="3">
        <v>50</v>
      </c>
      <c r="H96">
        <f t="shared" si="8"/>
        <v>9.509999999999998</v>
      </c>
      <c r="I96" s="7">
        <f t="shared" si="9"/>
        <v>0.19019999999999995</v>
      </c>
      <c r="K96">
        <f t="shared" si="10"/>
        <v>64</v>
      </c>
      <c r="M96" s="8">
        <f t="shared" si="11"/>
        <v>64</v>
      </c>
    </row>
    <row r="97" spans="1:13" x14ac:dyDescent="0.35">
      <c r="A97" s="2">
        <v>96</v>
      </c>
      <c r="B97" s="2" t="s">
        <v>764</v>
      </c>
      <c r="C97" s="2" t="s">
        <v>781</v>
      </c>
      <c r="D97" s="2" t="s">
        <v>703</v>
      </c>
      <c r="E97" s="3">
        <v>2.91</v>
      </c>
      <c r="F97" s="3">
        <v>54</v>
      </c>
      <c r="H97">
        <f t="shared" si="8"/>
        <v>13.189999999999998</v>
      </c>
      <c r="I97" s="7">
        <f t="shared" si="9"/>
        <v>0.2442592592592592</v>
      </c>
      <c r="K97">
        <f t="shared" si="10"/>
        <v>57</v>
      </c>
      <c r="M97" s="8">
        <f t="shared" si="11"/>
        <v>57</v>
      </c>
    </row>
    <row r="98" spans="1:13" x14ac:dyDescent="0.35">
      <c r="A98" s="2">
        <v>97</v>
      </c>
      <c r="B98" s="2" t="s">
        <v>764</v>
      </c>
      <c r="C98" s="2" t="s">
        <v>782</v>
      </c>
      <c r="D98" s="2" t="s">
        <v>705</v>
      </c>
      <c r="E98" s="2"/>
      <c r="F98" s="3">
        <v>60</v>
      </c>
      <c r="H98">
        <f t="shared" ref="H98:H129" si="12">IFERROR(((F98-MIN(F98/2,30)-4)*0.7)-$E98,0)</f>
        <v>18.2</v>
      </c>
      <c r="I98" s="7">
        <f t="shared" ref="I98:I129" si="13">H98/F98</f>
        <v>0.30333333333333334</v>
      </c>
      <c r="K98">
        <f t="shared" ref="K98:K129" si="14">ROUND(IF(E98&lt;=3.2,28+10*(E98),(23.8+E98)/0.45),0)</f>
        <v>28</v>
      </c>
      <c r="M98" s="8">
        <f t="shared" ref="M98:M129" si="15">MAX(K98,F98)</f>
        <v>60</v>
      </c>
    </row>
    <row r="99" spans="1:13" x14ac:dyDescent="0.35">
      <c r="A99" s="2">
        <v>98</v>
      </c>
      <c r="B99" s="2" t="s">
        <v>764</v>
      </c>
      <c r="C99" s="2" t="s">
        <v>783</v>
      </c>
      <c r="D99" s="2" t="s">
        <v>700</v>
      </c>
      <c r="E99" s="3">
        <v>5.19</v>
      </c>
      <c r="F99" s="3">
        <v>58</v>
      </c>
      <c r="H99">
        <f t="shared" si="12"/>
        <v>12.309999999999999</v>
      </c>
      <c r="I99" s="7">
        <f t="shared" si="13"/>
        <v>0.21224137931034481</v>
      </c>
      <c r="K99">
        <f t="shared" si="14"/>
        <v>64</v>
      </c>
      <c r="M99" s="8">
        <f t="shared" si="15"/>
        <v>64</v>
      </c>
    </row>
    <row r="100" spans="1:13" x14ac:dyDescent="0.35">
      <c r="A100" s="2">
        <v>99</v>
      </c>
      <c r="B100" s="2" t="s">
        <v>764</v>
      </c>
      <c r="C100" s="2" t="s">
        <v>784</v>
      </c>
      <c r="D100" s="2" t="s">
        <v>703</v>
      </c>
      <c r="E100" s="3">
        <v>3.63</v>
      </c>
      <c r="F100" s="3">
        <v>62</v>
      </c>
      <c r="H100">
        <f t="shared" si="12"/>
        <v>15.969999999999999</v>
      </c>
      <c r="I100" s="7">
        <f t="shared" si="13"/>
        <v>0.25758064516129031</v>
      </c>
      <c r="K100">
        <f t="shared" si="14"/>
        <v>61</v>
      </c>
      <c r="M100" s="8">
        <f t="shared" si="15"/>
        <v>62</v>
      </c>
    </row>
    <row r="101" spans="1:13" x14ac:dyDescent="0.35">
      <c r="A101" s="2">
        <v>100</v>
      </c>
      <c r="B101" s="2" t="s">
        <v>764</v>
      </c>
      <c r="C101" s="2" t="s">
        <v>785</v>
      </c>
      <c r="D101" s="2" t="s">
        <v>705</v>
      </c>
      <c r="E101" s="3">
        <v>6.21</v>
      </c>
      <c r="F101" s="3">
        <v>68</v>
      </c>
      <c r="H101">
        <f t="shared" si="12"/>
        <v>17.589999999999996</v>
      </c>
      <c r="I101" s="7">
        <f t="shared" si="13"/>
        <v>0.25867647058823523</v>
      </c>
      <c r="K101">
        <f t="shared" si="14"/>
        <v>67</v>
      </c>
      <c r="M101" s="8">
        <f t="shared" si="15"/>
        <v>68</v>
      </c>
    </row>
    <row r="102" spans="1:13" x14ac:dyDescent="0.35">
      <c r="A102" s="2">
        <v>101</v>
      </c>
      <c r="B102" s="2" t="s">
        <v>764</v>
      </c>
      <c r="C102" s="2" t="s">
        <v>786</v>
      </c>
      <c r="D102" s="2" t="s">
        <v>700</v>
      </c>
      <c r="E102" s="2"/>
      <c r="F102" s="3">
        <v>54</v>
      </c>
      <c r="H102">
        <f t="shared" si="12"/>
        <v>16.099999999999998</v>
      </c>
      <c r="I102" s="7">
        <f t="shared" si="13"/>
        <v>0.29814814814814811</v>
      </c>
      <c r="K102">
        <f t="shared" si="14"/>
        <v>28</v>
      </c>
      <c r="M102" s="8">
        <f t="shared" si="15"/>
        <v>54</v>
      </c>
    </row>
    <row r="103" spans="1:13" x14ac:dyDescent="0.35">
      <c r="A103" s="2">
        <v>102</v>
      </c>
      <c r="B103" s="2" t="s">
        <v>764</v>
      </c>
      <c r="C103" s="2" t="s">
        <v>787</v>
      </c>
      <c r="D103" s="2" t="s">
        <v>703</v>
      </c>
      <c r="E103" s="3">
        <v>2.92</v>
      </c>
      <c r="F103" s="3">
        <v>58</v>
      </c>
      <c r="H103">
        <f t="shared" si="12"/>
        <v>14.58</v>
      </c>
      <c r="I103" s="7">
        <f t="shared" si="13"/>
        <v>0.25137931034482758</v>
      </c>
      <c r="K103">
        <f t="shared" si="14"/>
        <v>57</v>
      </c>
      <c r="M103" s="8">
        <f t="shared" si="15"/>
        <v>58</v>
      </c>
    </row>
    <row r="104" spans="1:13" x14ac:dyDescent="0.35">
      <c r="A104" s="2">
        <v>103</v>
      </c>
      <c r="B104" s="2" t="s">
        <v>764</v>
      </c>
      <c r="C104" s="2" t="s">
        <v>788</v>
      </c>
      <c r="D104" s="2" t="s">
        <v>705</v>
      </c>
      <c r="E104" s="2"/>
      <c r="F104" s="3">
        <v>64</v>
      </c>
      <c r="H104">
        <f t="shared" si="12"/>
        <v>21</v>
      </c>
      <c r="I104" s="7">
        <f t="shared" si="13"/>
        <v>0.328125</v>
      </c>
      <c r="K104">
        <f t="shared" si="14"/>
        <v>28</v>
      </c>
      <c r="M104" s="8">
        <f t="shared" si="15"/>
        <v>64</v>
      </c>
    </row>
    <row r="105" spans="1:13" x14ac:dyDescent="0.35">
      <c r="A105" s="2">
        <v>104</v>
      </c>
      <c r="B105" s="2" t="s">
        <v>789</v>
      </c>
      <c r="C105" s="2" t="s">
        <v>790</v>
      </c>
      <c r="D105" s="2" t="s">
        <v>700</v>
      </c>
      <c r="E105" s="3">
        <v>0.91</v>
      </c>
      <c r="F105" s="3">
        <v>44</v>
      </c>
      <c r="H105">
        <f t="shared" si="12"/>
        <v>11.69</v>
      </c>
      <c r="I105" s="7">
        <f t="shared" si="13"/>
        <v>0.26568181818181819</v>
      </c>
      <c r="K105">
        <f t="shared" si="14"/>
        <v>37</v>
      </c>
      <c r="M105" s="8">
        <f t="shared" si="15"/>
        <v>44</v>
      </c>
    </row>
    <row r="106" spans="1:13" x14ac:dyDescent="0.35">
      <c r="A106" s="2">
        <v>105</v>
      </c>
      <c r="B106" s="2" t="s">
        <v>789</v>
      </c>
      <c r="C106" s="2" t="s">
        <v>790</v>
      </c>
      <c r="D106" s="2" t="s">
        <v>703</v>
      </c>
      <c r="E106" s="3">
        <v>4.24</v>
      </c>
      <c r="F106" s="3">
        <v>48</v>
      </c>
      <c r="H106">
        <f t="shared" si="12"/>
        <v>9.76</v>
      </c>
      <c r="I106" s="7">
        <f t="shared" si="13"/>
        <v>0.20333333333333334</v>
      </c>
      <c r="K106">
        <f t="shared" si="14"/>
        <v>62</v>
      </c>
      <c r="M106" s="8">
        <f t="shared" si="15"/>
        <v>62</v>
      </c>
    </row>
    <row r="107" spans="1:13" x14ac:dyDescent="0.35">
      <c r="A107" s="2">
        <v>106</v>
      </c>
      <c r="B107" s="2" t="s">
        <v>789</v>
      </c>
      <c r="C107" s="2" t="s">
        <v>791</v>
      </c>
      <c r="D107" s="2" t="s">
        <v>700</v>
      </c>
      <c r="E107" s="2"/>
      <c r="F107" s="3">
        <v>42</v>
      </c>
      <c r="H107">
        <f t="shared" si="12"/>
        <v>11.899999999999999</v>
      </c>
      <c r="I107" s="7">
        <f t="shared" si="13"/>
        <v>0.28333333333333333</v>
      </c>
      <c r="K107">
        <f t="shared" si="14"/>
        <v>28</v>
      </c>
      <c r="M107" s="8">
        <f t="shared" si="15"/>
        <v>42</v>
      </c>
    </row>
    <row r="108" spans="1:13" x14ac:dyDescent="0.35">
      <c r="A108" s="2">
        <v>107</v>
      </c>
      <c r="B108" s="2" t="s">
        <v>789</v>
      </c>
      <c r="C108" s="2" t="s">
        <v>791</v>
      </c>
      <c r="D108" s="2" t="s">
        <v>703</v>
      </c>
      <c r="E108" s="3">
        <v>3.14</v>
      </c>
      <c r="F108" s="3">
        <v>46</v>
      </c>
      <c r="H108">
        <f t="shared" si="12"/>
        <v>10.159999999999998</v>
      </c>
      <c r="I108" s="7">
        <f t="shared" si="13"/>
        <v>0.22086956521739126</v>
      </c>
      <c r="K108">
        <f t="shared" si="14"/>
        <v>59</v>
      </c>
      <c r="M108" s="8">
        <f t="shared" si="15"/>
        <v>59</v>
      </c>
    </row>
    <row r="109" spans="1:13" x14ac:dyDescent="0.35">
      <c r="A109" s="2">
        <v>108</v>
      </c>
      <c r="B109" s="2" t="s">
        <v>789</v>
      </c>
      <c r="C109" s="2" t="s">
        <v>792</v>
      </c>
      <c r="D109" s="2" t="s">
        <v>700</v>
      </c>
      <c r="E109" s="2"/>
      <c r="F109" s="3">
        <v>44</v>
      </c>
      <c r="H109">
        <f t="shared" si="12"/>
        <v>12.6</v>
      </c>
      <c r="I109" s="7">
        <f t="shared" si="13"/>
        <v>0.28636363636363638</v>
      </c>
      <c r="K109">
        <f t="shared" si="14"/>
        <v>28</v>
      </c>
      <c r="M109" s="8">
        <f t="shared" si="15"/>
        <v>44</v>
      </c>
    </row>
    <row r="110" spans="1:13" x14ac:dyDescent="0.35">
      <c r="A110" s="2">
        <v>109</v>
      </c>
      <c r="B110" s="2" t="s">
        <v>789</v>
      </c>
      <c r="C110" s="2" t="s">
        <v>792</v>
      </c>
      <c r="D110" s="2" t="s">
        <v>703</v>
      </c>
      <c r="E110" s="2"/>
      <c r="F110" s="3">
        <v>48</v>
      </c>
      <c r="H110">
        <f t="shared" si="12"/>
        <v>14</v>
      </c>
      <c r="I110" s="7">
        <f t="shared" si="13"/>
        <v>0.29166666666666669</v>
      </c>
      <c r="K110">
        <f t="shared" si="14"/>
        <v>28</v>
      </c>
      <c r="M110" s="8">
        <f t="shared" si="15"/>
        <v>48</v>
      </c>
    </row>
    <row r="111" spans="1:13" x14ac:dyDescent="0.35">
      <c r="A111" s="2">
        <v>110</v>
      </c>
      <c r="B111" s="2" t="s">
        <v>789</v>
      </c>
      <c r="C111" s="2" t="s">
        <v>793</v>
      </c>
      <c r="D111" s="2" t="s">
        <v>700</v>
      </c>
      <c r="E111" s="3">
        <v>1.05</v>
      </c>
      <c r="F111" s="3">
        <v>42</v>
      </c>
      <c r="H111">
        <f t="shared" si="12"/>
        <v>10.849999999999998</v>
      </c>
      <c r="I111" s="7">
        <f t="shared" si="13"/>
        <v>0.2583333333333333</v>
      </c>
      <c r="K111">
        <f t="shared" si="14"/>
        <v>39</v>
      </c>
      <c r="M111" s="8">
        <f t="shared" si="15"/>
        <v>42</v>
      </c>
    </row>
    <row r="112" spans="1:13" x14ac:dyDescent="0.35">
      <c r="A112" s="2">
        <v>111</v>
      </c>
      <c r="B112" s="2" t="s">
        <v>789</v>
      </c>
      <c r="C112" s="2" t="s">
        <v>793</v>
      </c>
      <c r="D112" s="2" t="s">
        <v>703</v>
      </c>
      <c r="E112" s="3">
        <v>2.61</v>
      </c>
      <c r="F112" s="3">
        <v>46</v>
      </c>
      <c r="H112">
        <f t="shared" si="12"/>
        <v>10.69</v>
      </c>
      <c r="I112" s="7">
        <f t="shared" si="13"/>
        <v>0.23239130434782607</v>
      </c>
      <c r="K112">
        <f t="shared" si="14"/>
        <v>54</v>
      </c>
      <c r="M112" s="8">
        <f t="shared" si="15"/>
        <v>54</v>
      </c>
    </row>
    <row r="113" spans="1:13" x14ac:dyDescent="0.35">
      <c r="A113" s="2">
        <v>112</v>
      </c>
      <c r="B113" s="2" t="s">
        <v>789</v>
      </c>
      <c r="C113" s="2" t="s">
        <v>794</v>
      </c>
      <c r="D113" s="2" t="s">
        <v>700</v>
      </c>
      <c r="E113" s="2"/>
      <c r="F113" s="3">
        <v>44</v>
      </c>
      <c r="H113">
        <f t="shared" si="12"/>
        <v>12.6</v>
      </c>
      <c r="I113" s="7">
        <f t="shared" si="13"/>
        <v>0.28636363636363638</v>
      </c>
      <c r="K113">
        <f t="shared" si="14"/>
        <v>28</v>
      </c>
      <c r="M113" s="8">
        <f t="shared" si="15"/>
        <v>44</v>
      </c>
    </row>
    <row r="114" spans="1:13" x14ac:dyDescent="0.35">
      <c r="A114" s="2">
        <v>113</v>
      </c>
      <c r="B114" s="2" t="s">
        <v>789</v>
      </c>
      <c r="C114" s="2" t="s">
        <v>794</v>
      </c>
      <c r="D114" s="2" t="s">
        <v>703</v>
      </c>
      <c r="E114" s="3">
        <v>3.61</v>
      </c>
      <c r="F114" s="3">
        <v>48</v>
      </c>
      <c r="H114">
        <f t="shared" si="12"/>
        <v>10.39</v>
      </c>
      <c r="I114" s="7">
        <f t="shared" si="13"/>
        <v>0.21645833333333334</v>
      </c>
      <c r="K114">
        <f t="shared" si="14"/>
        <v>61</v>
      </c>
      <c r="M114" s="8">
        <f t="shared" si="15"/>
        <v>61</v>
      </c>
    </row>
    <row r="115" spans="1:13" x14ac:dyDescent="0.35">
      <c r="A115" s="2">
        <v>114</v>
      </c>
      <c r="B115" s="2" t="s">
        <v>789</v>
      </c>
      <c r="C115" s="2" t="s">
        <v>795</v>
      </c>
      <c r="D115" s="2" t="s">
        <v>700</v>
      </c>
      <c r="E115" s="2"/>
      <c r="F115" s="3">
        <v>42</v>
      </c>
      <c r="H115">
        <f t="shared" si="12"/>
        <v>11.899999999999999</v>
      </c>
      <c r="I115" s="7">
        <f t="shared" si="13"/>
        <v>0.28333333333333333</v>
      </c>
      <c r="K115">
        <f t="shared" si="14"/>
        <v>28</v>
      </c>
      <c r="M115" s="8">
        <f t="shared" si="15"/>
        <v>42</v>
      </c>
    </row>
    <row r="116" spans="1:13" x14ac:dyDescent="0.35">
      <c r="A116" s="2">
        <v>115</v>
      </c>
      <c r="B116" s="2" t="s">
        <v>789</v>
      </c>
      <c r="C116" s="2" t="s">
        <v>795</v>
      </c>
      <c r="D116" s="2" t="s">
        <v>703</v>
      </c>
      <c r="E116" s="2"/>
      <c r="F116" s="3">
        <v>46</v>
      </c>
      <c r="H116">
        <f t="shared" si="12"/>
        <v>13.299999999999999</v>
      </c>
      <c r="I116" s="7">
        <f t="shared" si="13"/>
        <v>0.28913043478260869</v>
      </c>
      <c r="K116">
        <f t="shared" si="14"/>
        <v>28</v>
      </c>
      <c r="M116" s="8">
        <f t="shared" si="15"/>
        <v>46</v>
      </c>
    </row>
    <row r="117" spans="1:13" x14ac:dyDescent="0.35">
      <c r="A117" s="2">
        <v>116</v>
      </c>
      <c r="B117" s="2" t="s">
        <v>789</v>
      </c>
      <c r="C117" s="2" t="s">
        <v>796</v>
      </c>
      <c r="D117" s="2" t="s">
        <v>700</v>
      </c>
      <c r="E117" s="3">
        <v>0.7</v>
      </c>
      <c r="F117" s="3">
        <v>50</v>
      </c>
      <c r="H117">
        <f t="shared" si="12"/>
        <v>14</v>
      </c>
      <c r="I117" s="7">
        <f t="shared" si="13"/>
        <v>0.28000000000000003</v>
      </c>
      <c r="K117">
        <f t="shared" si="14"/>
        <v>35</v>
      </c>
      <c r="M117" s="8">
        <f t="shared" si="15"/>
        <v>50</v>
      </c>
    </row>
    <row r="118" spans="1:13" x14ac:dyDescent="0.35">
      <c r="A118" s="2">
        <v>117</v>
      </c>
      <c r="B118" s="2" t="s">
        <v>789</v>
      </c>
      <c r="C118" s="2" t="s">
        <v>796</v>
      </c>
      <c r="D118" s="2" t="s">
        <v>703</v>
      </c>
      <c r="E118" s="3">
        <v>3.63</v>
      </c>
      <c r="F118" s="3">
        <v>54</v>
      </c>
      <c r="H118">
        <f t="shared" si="12"/>
        <v>12.469999999999999</v>
      </c>
      <c r="I118" s="7">
        <f t="shared" si="13"/>
        <v>0.2309259259259259</v>
      </c>
      <c r="K118">
        <f t="shared" si="14"/>
        <v>61</v>
      </c>
      <c r="M118" s="8">
        <f t="shared" si="15"/>
        <v>61</v>
      </c>
    </row>
    <row r="119" spans="1:13" x14ac:dyDescent="0.35">
      <c r="A119" s="2">
        <v>118</v>
      </c>
      <c r="B119" s="2" t="s">
        <v>789</v>
      </c>
      <c r="C119" s="2" t="s">
        <v>797</v>
      </c>
      <c r="D119" s="2" t="s">
        <v>700</v>
      </c>
      <c r="E119" s="2"/>
      <c r="F119" s="3">
        <v>46</v>
      </c>
      <c r="H119">
        <f t="shared" si="12"/>
        <v>13.299999999999999</v>
      </c>
      <c r="I119" s="7">
        <f t="shared" si="13"/>
        <v>0.28913043478260869</v>
      </c>
      <c r="K119">
        <f t="shared" si="14"/>
        <v>28</v>
      </c>
      <c r="M119" s="8">
        <f t="shared" si="15"/>
        <v>46</v>
      </c>
    </row>
    <row r="120" spans="1:13" x14ac:dyDescent="0.35">
      <c r="A120" s="2">
        <v>119</v>
      </c>
      <c r="B120" s="2" t="s">
        <v>789</v>
      </c>
      <c r="C120" s="2" t="s">
        <v>797</v>
      </c>
      <c r="D120" s="2" t="s">
        <v>703</v>
      </c>
      <c r="E120" s="3">
        <v>2.92</v>
      </c>
      <c r="F120" s="3">
        <v>50</v>
      </c>
      <c r="H120">
        <f t="shared" si="12"/>
        <v>11.78</v>
      </c>
      <c r="I120" s="7">
        <f t="shared" si="13"/>
        <v>0.23559999999999998</v>
      </c>
      <c r="K120">
        <f t="shared" si="14"/>
        <v>57</v>
      </c>
      <c r="M120" s="8">
        <f t="shared" si="15"/>
        <v>57</v>
      </c>
    </row>
    <row r="121" spans="1:13" x14ac:dyDescent="0.35">
      <c r="A121" s="2">
        <v>120</v>
      </c>
      <c r="B121" s="2" t="s">
        <v>418</v>
      </c>
      <c r="C121" s="2" t="s">
        <v>419</v>
      </c>
      <c r="D121" s="2" t="s">
        <v>700</v>
      </c>
      <c r="E121" s="3">
        <v>1.87</v>
      </c>
      <c r="F121" s="3">
        <v>18</v>
      </c>
      <c r="H121">
        <f t="shared" si="12"/>
        <v>1.63</v>
      </c>
      <c r="I121" s="7">
        <f t="shared" si="13"/>
        <v>9.0555555555555556E-2</v>
      </c>
      <c r="K121">
        <f t="shared" si="14"/>
        <v>47</v>
      </c>
      <c r="M121" s="8">
        <f t="shared" si="15"/>
        <v>47</v>
      </c>
    </row>
    <row r="122" spans="1:13" x14ac:dyDescent="0.35">
      <c r="A122" s="2">
        <v>121</v>
      </c>
      <c r="B122" s="2" t="s">
        <v>418</v>
      </c>
      <c r="C122" s="2" t="s">
        <v>688</v>
      </c>
      <c r="D122" s="2" t="s">
        <v>700</v>
      </c>
      <c r="E122" s="3">
        <v>2.17</v>
      </c>
      <c r="F122" s="3">
        <v>24</v>
      </c>
      <c r="H122">
        <f t="shared" si="12"/>
        <v>3.4299999999999997</v>
      </c>
      <c r="I122" s="7">
        <f t="shared" si="13"/>
        <v>0.14291666666666666</v>
      </c>
      <c r="K122">
        <f t="shared" si="14"/>
        <v>50</v>
      </c>
      <c r="M122" s="8">
        <f t="shared" si="15"/>
        <v>50</v>
      </c>
    </row>
    <row r="123" spans="1:13" x14ac:dyDescent="0.35">
      <c r="A123" s="2">
        <v>122</v>
      </c>
      <c r="B123" s="2" t="s">
        <v>418</v>
      </c>
      <c r="C123" s="2" t="s">
        <v>798</v>
      </c>
      <c r="D123" s="2" t="s">
        <v>703</v>
      </c>
      <c r="E123" s="3">
        <v>2.17</v>
      </c>
      <c r="F123" s="3">
        <v>26</v>
      </c>
      <c r="H123">
        <f t="shared" si="12"/>
        <v>4.13</v>
      </c>
      <c r="I123" s="7">
        <f t="shared" si="13"/>
        <v>0.15884615384615383</v>
      </c>
      <c r="K123">
        <f t="shared" si="14"/>
        <v>50</v>
      </c>
      <c r="M123" s="8">
        <f t="shared" si="15"/>
        <v>50</v>
      </c>
    </row>
    <row r="124" spans="1:13" x14ac:dyDescent="0.35">
      <c r="A124" s="2">
        <v>123</v>
      </c>
      <c r="B124" s="2" t="s">
        <v>418</v>
      </c>
      <c r="C124" s="2" t="s">
        <v>799</v>
      </c>
      <c r="D124" s="2" t="s">
        <v>705</v>
      </c>
      <c r="E124" s="3">
        <v>2.17</v>
      </c>
      <c r="F124" s="3">
        <v>28</v>
      </c>
      <c r="H124">
        <f t="shared" si="12"/>
        <v>4.83</v>
      </c>
      <c r="I124" s="7">
        <f t="shared" si="13"/>
        <v>0.17250000000000001</v>
      </c>
      <c r="K124">
        <f t="shared" si="14"/>
        <v>50</v>
      </c>
      <c r="M124" s="8">
        <f t="shared" si="15"/>
        <v>50</v>
      </c>
    </row>
    <row r="125" spans="1:13" x14ac:dyDescent="0.35">
      <c r="A125" s="2">
        <v>124</v>
      </c>
      <c r="B125" s="2" t="s">
        <v>418</v>
      </c>
      <c r="C125" s="2" t="s">
        <v>687</v>
      </c>
      <c r="D125" s="2" t="s">
        <v>700</v>
      </c>
      <c r="E125" s="3">
        <v>2.66</v>
      </c>
      <c r="F125" s="3">
        <v>28</v>
      </c>
      <c r="H125">
        <f t="shared" si="12"/>
        <v>4.34</v>
      </c>
      <c r="I125" s="7">
        <f t="shared" si="13"/>
        <v>0.155</v>
      </c>
      <c r="K125">
        <f t="shared" si="14"/>
        <v>55</v>
      </c>
      <c r="M125" s="8">
        <f t="shared" si="15"/>
        <v>55</v>
      </c>
    </row>
    <row r="126" spans="1:13" x14ac:dyDescent="0.35">
      <c r="A126" s="2">
        <v>125</v>
      </c>
      <c r="B126" s="2" t="s">
        <v>418</v>
      </c>
      <c r="C126" s="2" t="s">
        <v>800</v>
      </c>
      <c r="D126" s="2" t="s">
        <v>703</v>
      </c>
      <c r="E126" s="3">
        <v>2.66</v>
      </c>
      <c r="F126" s="3">
        <v>30</v>
      </c>
      <c r="H126">
        <f t="shared" si="12"/>
        <v>5.0399999999999991</v>
      </c>
      <c r="I126" s="7">
        <f t="shared" si="13"/>
        <v>0.16799999999999998</v>
      </c>
      <c r="K126">
        <f t="shared" si="14"/>
        <v>55</v>
      </c>
      <c r="M126" s="8">
        <f t="shared" si="15"/>
        <v>55</v>
      </c>
    </row>
    <row r="127" spans="1:13" x14ac:dyDescent="0.35">
      <c r="A127" s="2">
        <v>126</v>
      </c>
      <c r="B127" s="2" t="s">
        <v>418</v>
      </c>
      <c r="C127" s="2" t="s">
        <v>801</v>
      </c>
      <c r="D127" s="2" t="s">
        <v>705</v>
      </c>
      <c r="E127" s="3">
        <v>2.66</v>
      </c>
      <c r="F127" s="3">
        <v>32</v>
      </c>
      <c r="H127">
        <f t="shared" si="12"/>
        <v>5.7399999999999984</v>
      </c>
      <c r="I127" s="7">
        <f t="shared" si="13"/>
        <v>0.17937499999999995</v>
      </c>
      <c r="K127">
        <f t="shared" si="14"/>
        <v>55</v>
      </c>
      <c r="M127" s="8">
        <f t="shared" si="15"/>
        <v>55</v>
      </c>
    </row>
    <row r="128" spans="1:13" x14ac:dyDescent="0.35">
      <c r="A128" s="2">
        <v>127</v>
      </c>
      <c r="B128" s="2" t="s">
        <v>418</v>
      </c>
      <c r="C128" s="2" t="s">
        <v>802</v>
      </c>
      <c r="D128" s="2" t="s">
        <v>700</v>
      </c>
      <c r="E128" s="2"/>
      <c r="F128" s="3">
        <v>32</v>
      </c>
      <c r="H128">
        <f t="shared" si="12"/>
        <v>8.3999999999999986</v>
      </c>
      <c r="I128" s="7">
        <f t="shared" si="13"/>
        <v>0.26249999999999996</v>
      </c>
      <c r="K128">
        <f t="shared" si="14"/>
        <v>28</v>
      </c>
      <c r="M128" s="8">
        <f t="shared" si="15"/>
        <v>32</v>
      </c>
    </row>
    <row r="129" spans="1:13" x14ac:dyDescent="0.35">
      <c r="A129" s="2">
        <v>128</v>
      </c>
      <c r="B129" s="2" t="s">
        <v>418</v>
      </c>
      <c r="C129" s="2" t="s">
        <v>803</v>
      </c>
      <c r="D129" s="2" t="s">
        <v>705</v>
      </c>
      <c r="E129" s="2"/>
      <c r="F129" s="3">
        <v>36</v>
      </c>
      <c r="H129">
        <f t="shared" si="12"/>
        <v>9.7999999999999989</v>
      </c>
      <c r="I129" s="7">
        <f t="shared" si="13"/>
        <v>0.2722222222222222</v>
      </c>
      <c r="K129">
        <f t="shared" si="14"/>
        <v>28</v>
      </c>
      <c r="M129" s="8">
        <f t="shared" si="15"/>
        <v>36</v>
      </c>
    </row>
    <row r="130" spans="1:13" x14ac:dyDescent="0.35">
      <c r="A130" s="2">
        <v>129</v>
      </c>
      <c r="B130" s="2" t="s">
        <v>418</v>
      </c>
      <c r="C130" s="2" t="s">
        <v>689</v>
      </c>
      <c r="D130" s="2" t="s">
        <v>700</v>
      </c>
      <c r="E130" s="3">
        <v>2.34</v>
      </c>
      <c r="F130" s="3">
        <v>26</v>
      </c>
      <c r="H130">
        <f t="shared" ref="H130:H159" si="16">IFERROR(((F130-MIN(F130/2,30)-4)*0.7)-$E130,0)</f>
        <v>3.96</v>
      </c>
      <c r="I130" s="7">
        <f t="shared" ref="I130:I161" si="17">H130/F130</f>
        <v>0.15230769230769231</v>
      </c>
      <c r="K130">
        <f t="shared" ref="K130:K159" si="18">ROUND(IF(E130&lt;=3.2,28+10*(E130),(23.8+E130)/0.45),0)</f>
        <v>51</v>
      </c>
      <c r="M130" s="8">
        <f t="shared" ref="M130:M159" si="19">MAX(K130,F130)</f>
        <v>51</v>
      </c>
    </row>
    <row r="131" spans="1:13" x14ac:dyDescent="0.35">
      <c r="A131" s="2">
        <v>130</v>
      </c>
      <c r="B131" s="2" t="s">
        <v>418</v>
      </c>
      <c r="C131" s="2" t="s">
        <v>804</v>
      </c>
      <c r="D131" s="2" t="s">
        <v>703</v>
      </c>
      <c r="E131" s="3">
        <v>2.34</v>
      </c>
      <c r="F131" s="3">
        <v>28</v>
      </c>
      <c r="H131">
        <f t="shared" si="16"/>
        <v>4.66</v>
      </c>
      <c r="I131" s="7">
        <f t="shared" si="17"/>
        <v>0.16642857142857143</v>
      </c>
      <c r="K131">
        <f t="shared" si="18"/>
        <v>51</v>
      </c>
      <c r="M131" s="8">
        <f t="shared" si="19"/>
        <v>51</v>
      </c>
    </row>
    <row r="132" spans="1:13" x14ac:dyDescent="0.35">
      <c r="A132" s="2">
        <v>131</v>
      </c>
      <c r="B132" s="2" t="s">
        <v>418</v>
      </c>
      <c r="C132" s="2" t="s">
        <v>805</v>
      </c>
      <c r="D132" s="2" t="s">
        <v>705</v>
      </c>
      <c r="E132" s="3">
        <v>2.34</v>
      </c>
      <c r="F132" s="3">
        <v>30</v>
      </c>
      <c r="H132">
        <f t="shared" si="16"/>
        <v>5.3599999999999994</v>
      </c>
      <c r="I132" s="7">
        <f t="shared" si="17"/>
        <v>0.17866666666666664</v>
      </c>
      <c r="K132">
        <f t="shared" si="18"/>
        <v>51</v>
      </c>
      <c r="M132" s="8">
        <f t="shared" si="19"/>
        <v>51</v>
      </c>
    </row>
    <row r="133" spans="1:13" x14ac:dyDescent="0.35">
      <c r="A133" s="2">
        <v>132</v>
      </c>
      <c r="B133" s="2" t="s">
        <v>418</v>
      </c>
      <c r="C133" s="2" t="s">
        <v>690</v>
      </c>
      <c r="D133" s="2" t="s">
        <v>700</v>
      </c>
      <c r="E133" s="3">
        <v>2.59</v>
      </c>
      <c r="F133" s="3">
        <v>28</v>
      </c>
      <c r="H133">
        <f t="shared" si="16"/>
        <v>4.41</v>
      </c>
      <c r="I133" s="7">
        <f t="shared" si="17"/>
        <v>0.1575</v>
      </c>
      <c r="K133">
        <f t="shared" si="18"/>
        <v>54</v>
      </c>
      <c r="M133" s="8">
        <f t="shared" si="19"/>
        <v>54</v>
      </c>
    </row>
    <row r="134" spans="1:13" x14ac:dyDescent="0.35">
      <c r="A134" s="2">
        <v>133</v>
      </c>
      <c r="B134" s="2" t="s">
        <v>418</v>
      </c>
      <c r="C134" s="2" t="s">
        <v>806</v>
      </c>
      <c r="D134" s="2" t="s">
        <v>703</v>
      </c>
      <c r="E134" s="3">
        <v>2.59</v>
      </c>
      <c r="F134" s="3">
        <v>30</v>
      </c>
      <c r="H134">
        <f t="shared" si="16"/>
        <v>5.1099999999999994</v>
      </c>
      <c r="I134" s="7">
        <f t="shared" si="17"/>
        <v>0.17033333333333331</v>
      </c>
      <c r="K134">
        <f t="shared" si="18"/>
        <v>54</v>
      </c>
      <c r="M134" s="8">
        <f t="shared" si="19"/>
        <v>54</v>
      </c>
    </row>
    <row r="135" spans="1:13" x14ac:dyDescent="0.35">
      <c r="A135" s="2">
        <v>134</v>
      </c>
      <c r="B135" s="2" t="s">
        <v>418</v>
      </c>
      <c r="C135" s="2" t="s">
        <v>807</v>
      </c>
      <c r="D135" s="2" t="s">
        <v>705</v>
      </c>
      <c r="E135" s="3">
        <v>2.59</v>
      </c>
      <c r="F135" s="3">
        <v>32</v>
      </c>
      <c r="H135">
        <f t="shared" si="16"/>
        <v>5.8099999999999987</v>
      </c>
      <c r="I135" s="7">
        <f t="shared" si="17"/>
        <v>0.18156249999999996</v>
      </c>
      <c r="K135">
        <f t="shared" si="18"/>
        <v>54</v>
      </c>
      <c r="M135" s="8">
        <f t="shared" si="19"/>
        <v>54</v>
      </c>
    </row>
    <row r="136" spans="1:13" x14ac:dyDescent="0.35">
      <c r="A136" s="2">
        <v>135</v>
      </c>
      <c r="B136" s="2" t="s">
        <v>175</v>
      </c>
      <c r="C136" s="2" t="s">
        <v>691</v>
      </c>
      <c r="D136" s="2" t="s">
        <v>700</v>
      </c>
      <c r="E136" s="3">
        <v>2.72</v>
      </c>
      <c r="F136" s="3">
        <v>32</v>
      </c>
      <c r="H136">
        <f t="shared" si="16"/>
        <v>5.6799999999999979</v>
      </c>
      <c r="I136" s="7">
        <f t="shared" si="17"/>
        <v>0.17749999999999994</v>
      </c>
      <c r="K136">
        <f t="shared" si="18"/>
        <v>55</v>
      </c>
      <c r="M136" s="8">
        <f t="shared" si="19"/>
        <v>55</v>
      </c>
    </row>
    <row r="137" spans="1:13" x14ac:dyDescent="0.35">
      <c r="A137" s="2">
        <v>136</v>
      </c>
      <c r="B137" s="2" t="s">
        <v>175</v>
      </c>
      <c r="C137" s="2" t="s">
        <v>808</v>
      </c>
      <c r="D137" s="2" t="s">
        <v>703</v>
      </c>
      <c r="E137" s="3">
        <v>2.72</v>
      </c>
      <c r="F137" s="3">
        <v>34</v>
      </c>
      <c r="H137">
        <f t="shared" si="16"/>
        <v>6.379999999999999</v>
      </c>
      <c r="I137" s="7">
        <f t="shared" si="17"/>
        <v>0.18764705882352939</v>
      </c>
      <c r="K137">
        <f t="shared" si="18"/>
        <v>55</v>
      </c>
      <c r="M137" s="8">
        <f t="shared" si="19"/>
        <v>55</v>
      </c>
    </row>
    <row r="138" spans="1:13" x14ac:dyDescent="0.35">
      <c r="A138" s="2">
        <v>137</v>
      </c>
      <c r="B138" s="2" t="s">
        <v>175</v>
      </c>
      <c r="C138" s="2" t="s">
        <v>809</v>
      </c>
      <c r="D138" s="2" t="s">
        <v>705</v>
      </c>
      <c r="E138" s="3">
        <v>2.72</v>
      </c>
      <c r="F138" s="3">
        <v>36</v>
      </c>
      <c r="H138">
        <f t="shared" si="16"/>
        <v>7.0799999999999983</v>
      </c>
      <c r="I138" s="7">
        <f t="shared" si="17"/>
        <v>0.19666666666666663</v>
      </c>
      <c r="K138">
        <f t="shared" si="18"/>
        <v>55</v>
      </c>
      <c r="M138" s="8">
        <f t="shared" si="19"/>
        <v>55</v>
      </c>
    </row>
    <row r="139" spans="1:13" x14ac:dyDescent="0.35">
      <c r="A139" s="2">
        <v>138</v>
      </c>
      <c r="B139" s="2" t="s">
        <v>175</v>
      </c>
      <c r="C139" s="2" t="s">
        <v>692</v>
      </c>
      <c r="D139" s="2" t="s">
        <v>700</v>
      </c>
      <c r="E139" s="3">
        <v>2.31</v>
      </c>
      <c r="F139" s="3">
        <v>30</v>
      </c>
      <c r="H139">
        <f t="shared" si="16"/>
        <v>5.3899999999999988</v>
      </c>
      <c r="I139" s="7">
        <f t="shared" si="17"/>
        <v>0.17966666666666661</v>
      </c>
      <c r="K139">
        <f t="shared" si="18"/>
        <v>51</v>
      </c>
      <c r="M139" s="8">
        <f t="shared" si="19"/>
        <v>51</v>
      </c>
    </row>
    <row r="140" spans="1:13" x14ac:dyDescent="0.35">
      <c r="A140" s="2">
        <v>139</v>
      </c>
      <c r="B140" s="2" t="s">
        <v>175</v>
      </c>
      <c r="C140" s="2" t="s">
        <v>810</v>
      </c>
      <c r="D140" s="2" t="s">
        <v>703</v>
      </c>
      <c r="E140" s="3">
        <v>2.31</v>
      </c>
      <c r="F140" s="3">
        <v>32</v>
      </c>
      <c r="H140">
        <f t="shared" si="16"/>
        <v>6.0899999999999981</v>
      </c>
      <c r="I140" s="7">
        <f t="shared" si="17"/>
        <v>0.19031249999999994</v>
      </c>
      <c r="K140">
        <f t="shared" si="18"/>
        <v>51</v>
      </c>
      <c r="M140" s="8">
        <f t="shared" si="19"/>
        <v>51</v>
      </c>
    </row>
    <row r="141" spans="1:13" x14ac:dyDescent="0.35">
      <c r="A141" s="2">
        <v>140</v>
      </c>
      <c r="B141" s="2" t="s">
        <v>175</v>
      </c>
      <c r="C141" s="2" t="s">
        <v>811</v>
      </c>
      <c r="D141" s="2" t="s">
        <v>705</v>
      </c>
      <c r="E141" s="3">
        <v>2.31</v>
      </c>
      <c r="F141" s="3">
        <v>34</v>
      </c>
      <c r="H141">
        <f t="shared" si="16"/>
        <v>6.7899999999999991</v>
      </c>
      <c r="I141" s="7">
        <f t="shared" si="17"/>
        <v>0.19970588235294115</v>
      </c>
      <c r="K141">
        <f t="shared" si="18"/>
        <v>51</v>
      </c>
      <c r="M141" s="8">
        <f t="shared" si="19"/>
        <v>51</v>
      </c>
    </row>
    <row r="142" spans="1:13" x14ac:dyDescent="0.35">
      <c r="A142" s="2">
        <v>141</v>
      </c>
      <c r="B142" s="2" t="s">
        <v>175</v>
      </c>
      <c r="C142" s="2" t="s">
        <v>693</v>
      </c>
      <c r="D142" s="2" t="s">
        <v>700</v>
      </c>
      <c r="E142" s="3">
        <v>2.9</v>
      </c>
      <c r="F142" s="3">
        <v>32</v>
      </c>
      <c r="H142">
        <f t="shared" si="16"/>
        <v>5.4999999999999982</v>
      </c>
      <c r="I142" s="7">
        <f t="shared" si="17"/>
        <v>0.17187499999999994</v>
      </c>
      <c r="K142">
        <f t="shared" si="18"/>
        <v>57</v>
      </c>
      <c r="M142" s="8">
        <f t="shared" si="19"/>
        <v>57</v>
      </c>
    </row>
    <row r="143" spans="1:13" x14ac:dyDescent="0.35">
      <c r="A143" s="2">
        <v>142</v>
      </c>
      <c r="B143" s="2" t="s">
        <v>175</v>
      </c>
      <c r="C143" s="2" t="s">
        <v>812</v>
      </c>
      <c r="D143" s="2" t="s">
        <v>703</v>
      </c>
      <c r="E143" s="3">
        <v>2.9</v>
      </c>
      <c r="F143" s="3">
        <v>34</v>
      </c>
      <c r="H143">
        <f t="shared" si="16"/>
        <v>6.1999999999999993</v>
      </c>
      <c r="I143" s="7">
        <f t="shared" si="17"/>
        <v>0.18235294117647058</v>
      </c>
      <c r="K143">
        <f t="shared" si="18"/>
        <v>57</v>
      </c>
      <c r="M143" s="8">
        <f t="shared" si="19"/>
        <v>57</v>
      </c>
    </row>
    <row r="144" spans="1:13" x14ac:dyDescent="0.35">
      <c r="A144" s="2">
        <v>143</v>
      </c>
      <c r="B144" s="2" t="s">
        <v>175</v>
      </c>
      <c r="C144" s="2" t="s">
        <v>813</v>
      </c>
      <c r="D144" s="2" t="s">
        <v>705</v>
      </c>
      <c r="E144" s="3">
        <v>2.9</v>
      </c>
      <c r="F144" s="3">
        <v>36</v>
      </c>
      <c r="H144">
        <f t="shared" si="16"/>
        <v>6.8999999999999986</v>
      </c>
      <c r="I144" s="7">
        <f t="shared" si="17"/>
        <v>0.19166666666666662</v>
      </c>
      <c r="K144">
        <f t="shared" si="18"/>
        <v>57</v>
      </c>
      <c r="M144" s="8">
        <f t="shared" si="19"/>
        <v>57</v>
      </c>
    </row>
    <row r="145" spans="1:13" x14ac:dyDescent="0.35">
      <c r="A145" s="2">
        <v>144</v>
      </c>
      <c r="B145" s="2" t="s">
        <v>175</v>
      </c>
      <c r="C145" s="2" t="s">
        <v>694</v>
      </c>
      <c r="D145" s="2" t="s">
        <v>700</v>
      </c>
      <c r="E145" s="3">
        <v>2.72</v>
      </c>
      <c r="F145" s="3">
        <v>34</v>
      </c>
      <c r="H145">
        <f t="shared" si="16"/>
        <v>6.379999999999999</v>
      </c>
      <c r="I145" s="7">
        <f t="shared" si="17"/>
        <v>0.18764705882352939</v>
      </c>
      <c r="K145">
        <f t="shared" si="18"/>
        <v>55</v>
      </c>
      <c r="M145" s="8">
        <f t="shared" si="19"/>
        <v>55</v>
      </c>
    </row>
    <row r="146" spans="1:13" x14ac:dyDescent="0.35">
      <c r="A146" s="2">
        <v>145</v>
      </c>
      <c r="B146" s="2" t="s">
        <v>175</v>
      </c>
      <c r="C146" s="2" t="s">
        <v>814</v>
      </c>
      <c r="D146" s="2" t="s">
        <v>703</v>
      </c>
      <c r="E146" s="3">
        <v>2.72</v>
      </c>
      <c r="F146" s="3">
        <v>36</v>
      </c>
      <c r="H146">
        <f t="shared" si="16"/>
        <v>7.0799999999999983</v>
      </c>
      <c r="I146" s="7">
        <f t="shared" si="17"/>
        <v>0.19666666666666663</v>
      </c>
      <c r="K146">
        <f t="shared" si="18"/>
        <v>55</v>
      </c>
      <c r="M146" s="8">
        <f t="shared" si="19"/>
        <v>55</v>
      </c>
    </row>
    <row r="147" spans="1:13" x14ac:dyDescent="0.35">
      <c r="A147" s="2">
        <v>146</v>
      </c>
      <c r="B147" s="2" t="s">
        <v>175</v>
      </c>
      <c r="C147" s="2" t="s">
        <v>815</v>
      </c>
      <c r="D147" s="2" t="s">
        <v>705</v>
      </c>
      <c r="E147" s="3">
        <v>2.72</v>
      </c>
      <c r="F147" s="3">
        <v>38</v>
      </c>
      <c r="H147">
        <f t="shared" si="16"/>
        <v>7.7799999999999994</v>
      </c>
      <c r="I147" s="7">
        <f t="shared" si="17"/>
        <v>0.20473684210526313</v>
      </c>
      <c r="K147">
        <f t="shared" si="18"/>
        <v>55</v>
      </c>
      <c r="M147" s="8">
        <f t="shared" si="19"/>
        <v>55</v>
      </c>
    </row>
    <row r="148" spans="1:13" x14ac:dyDescent="0.35">
      <c r="A148" s="2">
        <v>147</v>
      </c>
      <c r="B148" s="2" t="s">
        <v>175</v>
      </c>
      <c r="C148" s="2" t="s">
        <v>695</v>
      </c>
      <c r="D148" s="2" t="s">
        <v>700</v>
      </c>
      <c r="E148" s="3">
        <v>2.85</v>
      </c>
      <c r="F148" s="3">
        <v>32</v>
      </c>
      <c r="H148">
        <f t="shared" si="16"/>
        <v>5.5499999999999989</v>
      </c>
      <c r="I148" s="7">
        <f t="shared" si="17"/>
        <v>0.17343749999999997</v>
      </c>
      <c r="K148">
        <f t="shared" si="18"/>
        <v>57</v>
      </c>
      <c r="M148" s="8">
        <f t="shared" si="19"/>
        <v>57</v>
      </c>
    </row>
    <row r="149" spans="1:13" x14ac:dyDescent="0.35">
      <c r="A149" s="2">
        <v>148</v>
      </c>
      <c r="B149" s="2" t="s">
        <v>175</v>
      </c>
      <c r="C149" s="2" t="s">
        <v>816</v>
      </c>
      <c r="D149" s="2" t="s">
        <v>703</v>
      </c>
      <c r="E149" s="3">
        <v>2.85</v>
      </c>
      <c r="F149" s="3">
        <v>34</v>
      </c>
      <c r="H149">
        <f t="shared" si="16"/>
        <v>6.25</v>
      </c>
      <c r="I149" s="7">
        <f t="shared" si="17"/>
        <v>0.18382352941176472</v>
      </c>
      <c r="K149">
        <f t="shared" si="18"/>
        <v>57</v>
      </c>
      <c r="M149" s="8">
        <f t="shared" si="19"/>
        <v>57</v>
      </c>
    </row>
    <row r="150" spans="1:13" x14ac:dyDescent="0.35">
      <c r="A150" s="2">
        <v>149</v>
      </c>
      <c r="B150" s="2" t="s">
        <v>175</v>
      </c>
      <c r="C150" s="2" t="s">
        <v>817</v>
      </c>
      <c r="D150" s="2" t="s">
        <v>705</v>
      </c>
      <c r="E150" s="3">
        <v>2.85</v>
      </c>
      <c r="F150" s="3">
        <v>36</v>
      </c>
      <c r="H150">
        <f t="shared" si="16"/>
        <v>6.9499999999999993</v>
      </c>
      <c r="I150" s="7">
        <f t="shared" si="17"/>
        <v>0.19305555555555554</v>
      </c>
      <c r="K150">
        <f t="shared" si="18"/>
        <v>57</v>
      </c>
      <c r="M150" s="8">
        <f t="shared" si="19"/>
        <v>57</v>
      </c>
    </row>
    <row r="151" spans="1:13" x14ac:dyDescent="0.35">
      <c r="A151" s="2">
        <v>150</v>
      </c>
      <c r="B151" s="2" t="s">
        <v>175</v>
      </c>
      <c r="C151" s="2" t="s">
        <v>818</v>
      </c>
      <c r="D151" s="2" t="s">
        <v>700</v>
      </c>
      <c r="E151" s="2"/>
      <c r="F151" s="3">
        <v>34</v>
      </c>
      <c r="H151">
        <f t="shared" si="16"/>
        <v>9.1</v>
      </c>
      <c r="I151" s="7">
        <f t="shared" si="17"/>
        <v>0.2676470588235294</v>
      </c>
      <c r="K151">
        <f t="shared" si="18"/>
        <v>28</v>
      </c>
      <c r="M151" s="8">
        <f t="shared" si="19"/>
        <v>34</v>
      </c>
    </row>
    <row r="152" spans="1:13" x14ac:dyDescent="0.35">
      <c r="A152" s="2">
        <v>151</v>
      </c>
      <c r="B152" s="2" t="s">
        <v>175</v>
      </c>
      <c r="C152" s="2" t="s">
        <v>819</v>
      </c>
      <c r="D152" s="2" t="s">
        <v>703</v>
      </c>
      <c r="E152" s="2"/>
      <c r="F152" s="3">
        <v>36</v>
      </c>
      <c r="H152">
        <f t="shared" si="16"/>
        <v>9.7999999999999989</v>
      </c>
      <c r="I152" s="7">
        <f t="shared" si="17"/>
        <v>0.2722222222222222</v>
      </c>
      <c r="K152">
        <f t="shared" si="18"/>
        <v>28</v>
      </c>
      <c r="M152" s="8">
        <f t="shared" si="19"/>
        <v>36</v>
      </c>
    </row>
    <row r="153" spans="1:13" x14ac:dyDescent="0.35">
      <c r="A153" s="2">
        <v>152</v>
      </c>
      <c r="B153" s="2" t="s">
        <v>175</v>
      </c>
      <c r="C153" s="2" t="s">
        <v>820</v>
      </c>
      <c r="D153" s="2" t="s">
        <v>705</v>
      </c>
      <c r="E153" s="2"/>
      <c r="F153" s="3">
        <v>38</v>
      </c>
      <c r="H153">
        <f t="shared" si="16"/>
        <v>10.5</v>
      </c>
      <c r="I153" s="7">
        <f t="shared" si="17"/>
        <v>0.27631578947368424</v>
      </c>
      <c r="K153">
        <f t="shared" si="18"/>
        <v>28</v>
      </c>
      <c r="M153" s="8">
        <f t="shared" si="19"/>
        <v>38</v>
      </c>
    </row>
    <row r="154" spans="1:13" x14ac:dyDescent="0.35">
      <c r="A154" s="2">
        <v>153</v>
      </c>
      <c r="B154" s="2" t="s">
        <v>140</v>
      </c>
      <c r="C154" s="2" t="s">
        <v>821</v>
      </c>
      <c r="D154" s="2" t="s">
        <v>700</v>
      </c>
      <c r="E154" s="3">
        <v>1.87</v>
      </c>
      <c r="F154" s="3">
        <v>4</v>
      </c>
      <c r="H154">
        <f t="shared" si="16"/>
        <v>-3.27</v>
      </c>
      <c r="I154" s="7">
        <f t="shared" si="17"/>
        <v>-0.8175</v>
      </c>
      <c r="K154">
        <f t="shared" si="18"/>
        <v>47</v>
      </c>
      <c r="M154" s="8">
        <f t="shared" si="19"/>
        <v>47</v>
      </c>
    </row>
    <row r="155" spans="1:13" x14ac:dyDescent="0.35">
      <c r="A155" s="2">
        <v>154</v>
      </c>
      <c r="B155" s="2" t="s">
        <v>140</v>
      </c>
      <c r="C155" s="2" t="s">
        <v>822</v>
      </c>
      <c r="D155" s="2" t="s">
        <v>700</v>
      </c>
      <c r="E155" s="3">
        <v>2.04</v>
      </c>
      <c r="F155" s="3">
        <v>8</v>
      </c>
      <c r="H155">
        <f t="shared" si="16"/>
        <v>-2.04</v>
      </c>
      <c r="I155" s="7">
        <f t="shared" si="17"/>
        <v>-0.255</v>
      </c>
      <c r="K155">
        <f t="shared" si="18"/>
        <v>48</v>
      </c>
      <c r="M155" s="8">
        <f t="shared" si="19"/>
        <v>48</v>
      </c>
    </row>
    <row r="156" spans="1:13" x14ac:dyDescent="0.35">
      <c r="A156" s="2">
        <v>155</v>
      </c>
      <c r="B156" s="2" t="s">
        <v>140</v>
      </c>
      <c r="C156" s="2" t="s">
        <v>823</v>
      </c>
      <c r="D156" s="2" t="s">
        <v>700</v>
      </c>
      <c r="E156" s="3">
        <v>2.04</v>
      </c>
      <c r="F156" s="3">
        <v>8</v>
      </c>
      <c r="H156">
        <f t="shared" si="16"/>
        <v>-2.04</v>
      </c>
      <c r="I156" s="7">
        <f t="shared" si="17"/>
        <v>-0.255</v>
      </c>
      <c r="K156">
        <f t="shared" si="18"/>
        <v>48</v>
      </c>
      <c r="M156" s="8">
        <f t="shared" si="19"/>
        <v>48</v>
      </c>
    </row>
    <row r="157" spans="1:13" x14ac:dyDescent="0.35">
      <c r="A157" s="2">
        <v>156</v>
      </c>
      <c r="B157" s="2" t="s">
        <v>140</v>
      </c>
      <c r="C157" s="2" t="s">
        <v>824</v>
      </c>
      <c r="D157" s="2" t="s">
        <v>700</v>
      </c>
      <c r="E157" s="3">
        <v>2.04</v>
      </c>
      <c r="F157" s="3">
        <v>8</v>
      </c>
      <c r="H157">
        <f t="shared" si="16"/>
        <v>-2.04</v>
      </c>
      <c r="I157" s="7">
        <f t="shared" si="17"/>
        <v>-0.255</v>
      </c>
      <c r="K157">
        <f t="shared" si="18"/>
        <v>48</v>
      </c>
      <c r="M157" s="8">
        <f t="shared" si="19"/>
        <v>48</v>
      </c>
    </row>
    <row r="158" spans="1:13" x14ac:dyDescent="0.35">
      <c r="A158" s="2">
        <v>157</v>
      </c>
      <c r="B158" s="2" t="s">
        <v>140</v>
      </c>
      <c r="C158" s="2" t="s">
        <v>825</v>
      </c>
      <c r="D158" s="2" t="s">
        <v>700</v>
      </c>
      <c r="E158" s="3">
        <v>2.04</v>
      </c>
      <c r="F158" s="3">
        <v>8</v>
      </c>
      <c r="H158">
        <f t="shared" si="16"/>
        <v>-2.04</v>
      </c>
      <c r="I158" s="7">
        <f t="shared" si="17"/>
        <v>-0.255</v>
      </c>
      <c r="K158">
        <f t="shared" si="18"/>
        <v>48</v>
      </c>
      <c r="M158" s="8">
        <f t="shared" si="19"/>
        <v>48</v>
      </c>
    </row>
    <row r="159" spans="1:13" x14ac:dyDescent="0.35">
      <c r="A159" s="2">
        <v>158</v>
      </c>
      <c r="B159" s="2" t="s">
        <v>140</v>
      </c>
      <c r="C159" s="2" t="s">
        <v>826</v>
      </c>
      <c r="D159" s="2" t="s">
        <v>700</v>
      </c>
      <c r="E159" s="3">
        <v>2.04</v>
      </c>
      <c r="F159" s="3">
        <v>8</v>
      </c>
      <c r="H159">
        <f t="shared" si="16"/>
        <v>-2.04</v>
      </c>
      <c r="I159" s="7">
        <f t="shared" si="17"/>
        <v>-0.255</v>
      </c>
      <c r="K159">
        <f t="shared" si="18"/>
        <v>48</v>
      </c>
      <c r="M159" s="8">
        <f t="shared" si="19"/>
        <v>48</v>
      </c>
    </row>
  </sheetData>
  <conditionalFormatting sqref="M2:M159">
    <cfRule type="cellIs" dxfId="0" priority="1" operator="greaterThan">
      <formula>F2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Korean Menu</vt:lpstr>
      <vt:lpstr>Korean Ramadan Combos</vt:lpstr>
      <vt:lpstr>American Menu</vt:lpstr>
      <vt:lpstr>Ramadan Burger Brands</vt:lpstr>
      <vt:lpstr>Ramadan Slider Brands</vt:lpstr>
      <vt:lpstr>Ramadan Wing Brands</vt:lpstr>
      <vt:lpstr>Mexican Menu</vt:lpstr>
      <vt:lpstr>Mexican Ramadan Combos</vt:lpstr>
      <vt:lpstr>Indian Menu</vt:lpstr>
      <vt:lpstr>Indian Ramadan Combos</vt:lpstr>
      <vt:lpstr>Japanese Menu</vt:lpstr>
      <vt:lpstr>Japanese Ramadan Combos</vt:lpstr>
      <vt:lpstr>Poke Menu</vt:lpstr>
      <vt:lpstr>Chinese Recipes</vt:lpstr>
      <vt:lpstr>Chinese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Scripps</cp:lastModifiedBy>
  <dcterms:created xsi:type="dcterms:W3CDTF">2026-04-03T16:00:21Z</dcterms:created>
  <dcterms:modified xsi:type="dcterms:W3CDTF">2026-04-09T18:08:57Z</dcterms:modified>
</cp:coreProperties>
</file>