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E:\Cloud Kitchen\AI Teams\Dish_Costing\"/>
    </mc:Choice>
  </mc:AlternateContent>
  <xr:revisionPtr revIDLastSave="0" documentId="13_ncr:1_{FC2F9E65-DBD9-4564-A292-E7E43354741C}" xr6:coauthVersionLast="47" xr6:coauthVersionMax="47" xr10:uidLastSave="{00000000-0000-0000-0000-000000000000}"/>
  <bookViews>
    <workbookView xWindow="-110" yWindow="-110" windowWidth="29020" windowHeight="17500" xr2:uid="{00000000-000D-0000-FFFF-FFFF00000000}"/>
  </bookViews>
  <sheets>
    <sheet name="American Menu" sheetId="1" r:id="rId1"/>
  </sheets>
  <definedNames>
    <definedName name="_xlnm._FilterDatabase" localSheetId="0" hidden="1">'American Menu'!$A$2:$L$141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141" i="1" l="1"/>
  <c r="V141" i="1" s="1"/>
  <c r="W141" i="1" s="1"/>
  <c r="U140" i="1"/>
  <c r="V140" i="1" s="1"/>
  <c r="W140" i="1" s="1"/>
  <c r="V139" i="1"/>
  <c r="W139" i="1" s="1"/>
  <c r="U139" i="1"/>
  <c r="U138" i="1"/>
  <c r="V138" i="1" s="1"/>
  <c r="W138" i="1" s="1"/>
  <c r="U137" i="1"/>
  <c r="V137" i="1" s="1"/>
  <c r="W137" i="1" s="1"/>
  <c r="W136" i="1"/>
  <c r="V136" i="1"/>
  <c r="U136" i="1"/>
  <c r="U135" i="1"/>
  <c r="V135" i="1" s="1"/>
  <c r="W135" i="1" s="1"/>
  <c r="U134" i="1"/>
  <c r="V134" i="1" s="1"/>
  <c r="W134" i="1" s="1"/>
  <c r="U133" i="1"/>
  <c r="V133" i="1" s="1"/>
  <c r="W133" i="1" s="1"/>
  <c r="U132" i="1"/>
  <c r="V132" i="1" s="1"/>
  <c r="W132" i="1" s="1"/>
  <c r="V131" i="1"/>
  <c r="W131" i="1" s="1"/>
  <c r="U131" i="1"/>
  <c r="U130" i="1"/>
  <c r="V130" i="1" s="1"/>
  <c r="W130" i="1" s="1"/>
  <c r="U129" i="1"/>
  <c r="V129" i="1" s="1"/>
  <c r="W129" i="1" s="1"/>
  <c r="W128" i="1"/>
  <c r="V128" i="1"/>
  <c r="U128" i="1"/>
  <c r="U127" i="1"/>
  <c r="V127" i="1" s="1"/>
  <c r="W127" i="1" s="1"/>
  <c r="U126" i="1"/>
  <c r="V126" i="1" s="1"/>
  <c r="W126" i="1" s="1"/>
  <c r="U125" i="1"/>
  <c r="V125" i="1" s="1"/>
  <c r="W125" i="1" s="1"/>
  <c r="U124" i="1"/>
  <c r="V124" i="1" s="1"/>
  <c r="W124" i="1" s="1"/>
  <c r="V123" i="1"/>
  <c r="W123" i="1" s="1"/>
  <c r="U123" i="1"/>
  <c r="U122" i="1"/>
  <c r="V122" i="1" s="1"/>
  <c r="W122" i="1" s="1"/>
  <c r="U121" i="1"/>
  <c r="V121" i="1" s="1"/>
  <c r="W121" i="1" s="1"/>
  <c r="W120" i="1"/>
  <c r="V120" i="1"/>
  <c r="U120" i="1"/>
  <c r="U119" i="1"/>
  <c r="V119" i="1" s="1"/>
  <c r="W119" i="1" s="1"/>
  <c r="U118" i="1"/>
  <c r="V118" i="1" s="1"/>
  <c r="W118" i="1" s="1"/>
  <c r="U117" i="1"/>
  <c r="V117" i="1" s="1"/>
  <c r="W117" i="1" s="1"/>
  <c r="U116" i="1"/>
  <c r="V116" i="1" s="1"/>
  <c r="W116" i="1" s="1"/>
  <c r="V115" i="1"/>
  <c r="W115" i="1" s="1"/>
  <c r="U115" i="1"/>
  <c r="U114" i="1"/>
  <c r="V114" i="1" s="1"/>
  <c r="W114" i="1" s="1"/>
  <c r="U113" i="1"/>
  <c r="V113" i="1" s="1"/>
  <c r="W113" i="1" s="1"/>
  <c r="W112" i="1"/>
  <c r="V112" i="1"/>
  <c r="U112" i="1"/>
  <c r="U111" i="1"/>
  <c r="V111" i="1" s="1"/>
  <c r="W111" i="1" s="1"/>
  <c r="U110" i="1"/>
  <c r="V110" i="1" s="1"/>
  <c r="W110" i="1" s="1"/>
  <c r="U109" i="1"/>
  <c r="V109" i="1" s="1"/>
  <c r="W109" i="1" s="1"/>
  <c r="U108" i="1"/>
  <c r="V108" i="1" s="1"/>
  <c r="W108" i="1" s="1"/>
  <c r="V107" i="1"/>
  <c r="W107" i="1" s="1"/>
  <c r="U107" i="1"/>
  <c r="U106" i="1"/>
  <c r="V106" i="1" s="1"/>
  <c r="W106" i="1" s="1"/>
  <c r="U105" i="1"/>
  <c r="V105" i="1" s="1"/>
  <c r="W105" i="1" s="1"/>
  <c r="W104" i="1"/>
  <c r="V104" i="1"/>
  <c r="U104" i="1"/>
  <c r="U103" i="1"/>
  <c r="V103" i="1" s="1"/>
  <c r="W103" i="1" s="1"/>
  <c r="U102" i="1"/>
  <c r="V102" i="1" s="1"/>
  <c r="W102" i="1" s="1"/>
  <c r="U101" i="1"/>
  <c r="V101" i="1" s="1"/>
  <c r="W101" i="1" s="1"/>
  <c r="U100" i="1"/>
  <c r="V100" i="1" s="1"/>
  <c r="W100" i="1" s="1"/>
  <c r="V99" i="1"/>
  <c r="W99" i="1" s="1"/>
  <c r="U99" i="1"/>
  <c r="U98" i="1"/>
  <c r="V98" i="1" s="1"/>
  <c r="W98" i="1" s="1"/>
  <c r="U97" i="1"/>
  <c r="V97" i="1" s="1"/>
  <c r="W97" i="1" s="1"/>
  <c r="W96" i="1"/>
  <c r="V96" i="1"/>
  <c r="U96" i="1"/>
  <c r="U95" i="1"/>
  <c r="V95" i="1" s="1"/>
  <c r="W95" i="1" s="1"/>
  <c r="U94" i="1"/>
  <c r="V94" i="1" s="1"/>
  <c r="W94" i="1" s="1"/>
  <c r="U93" i="1"/>
  <c r="V93" i="1" s="1"/>
  <c r="W93" i="1" s="1"/>
  <c r="U92" i="1"/>
  <c r="V92" i="1" s="1"/>
  <c r="W92" i="1" s="1"/>
  <c r="V91" i="1"/>
  <c r="W91" i="1" s="1"/>
  <c r="U91" i="1"/>
  <c r="U90" i="1"/>
  <c r="V90" i="1" s="1"/>
  <c r="W90" i="1" s="1"/>
  <c r="U89" i="1"/>
  <c r="V89" i="1" s="1"/>
  <c r="W89" i="1" s="1"/>
  <c r="W88" i="1"/>
  <c r="V88" i="1"/>
  <c r="U88" i="1"/>
  <c r="U87" i="1"/>
  <c r="V87" i="1" s="1"/>
  <c r="W87" i="1" s="1"/>
  <c r="U86" i="1"/>
  <c r="V86" i="1" s="1"/>
  <c r="W86" i="1" s="1"/>
  <c r="U85" i="1"/>
  <c r="V85" i="1" s="1"/>
  <c r="W85" i="1" s="1"/>
  <c r="U84" i="1"/>
  <c r="V84" i="1" s="1"/>
  <c r="W84" i="1" s="1"/>
  <c r="V83" i="1"/>
  <c r="W83" i="1" s="1"/>
  <c r="U83" i="1"/>
  <c r="U82" i="1"/>
  <c r="V82" i="1" s="1"/>
  <c r="W82" i="1" s="1"/>
  <c r="U81" i="1"/>
  <c r="V81" i="1" s="1"/>
  <c r="W81" i="1" s="1"/>
  <c r="W80" i="1"/>
  <c r="V80" i="1"/>
  <c r="U80" i="1"/>
  <c r="U79" i="1"/>
  <c r="V79" i="1" s="1"/>
  <c r="W79" i="1" s="1"/>
  <c r="U78" i="1"/>
  <c r="V78" i="1" s="1"/>
  <c r="W78" i="1" s="1"/>
  <c r="U77" i="1"/>
  <c r="V77" i="1" s="1"/>
  <c r="W77" i="1" s="1"/>
  <c r="U76" i="1"/>
  <c r="V76" i="1" s="1"/>
  <c r="W76" i="1" s="1"/>
  <c r="V75" i="1"/>
  <c r="W75" i="1" s="1"/>
  <c r="U75" i="1"/>
  <c r="U74" i="1"/>
  <c r="V74" i="1" s="1"/>
  <c r="W74" i="1" s="1"/>
  <c r="U73" i="1"/>
  <c r="V73" i="1" s="1"/>
  <c r="W73" i="1" s="1"/>
  <c r="W72" i="1"/>
  <c r="V72" i="1"/>
  <c r="U72" i="1"/>
  <c r="U71" i="1"/>
  <c r="V71" i="1" s="1"/>
  <c r="W71" i="1" s="1"/>
  <c r="U70" i="1"/>
  <c r="V70" i="1" s="1"/>
  <c r="W70" i="1" s="1"/>
  <c r="U69" i="1"/>
  <c r="V69" i="1" s="1"/>
  <c r="W69" i="1" s="1"/>
  <c r="U68" i="1"/>
  <c r="V68" i="1" s="1"/>
  <c r="W68" i="1" s="1"/>
  <c r="V67" i="1"/>
  <c r="W67" i="1" s="1"/>
  <c r="U67" i="1"/>
  <c r="U66" i="1"/>
  <c r="V66" i="1" s="1"/>
  <c r="W66" i="1" s="1"/>
  <c r="U65" i="1"/>
  <c r="V65" i="1" s="1"/>
  <c r="W65" i="1" s="1"/>
  <c r="W64" i="1"/>
  <c r="V64" i="1"/>
  <c r="U64" i="1"/>
  <c r="U63" i="1"/>
  <c r="V63" i="1" s="1"/>
  <c r="W63" i="1" s="1"/>
  <c r="U62" i="1"/>
  <c r="V62" i="1" s="1"/>
  <c r="W62" i="1" s="1"/>
  <c r="U61" i="1"/>
  <c r="V61" i="1" s="1"/>
  <c r="W61" i="1" s="1"/>
  <c r="U60" i="1"/>
  <c r="V60" i="1" s="1"/>
  <c r="W60" i="1" s="1"/>
  <c r="V59" i="1"/>
  <c r="W59" i="1" s="1"/>
  <c r="U59" i="1"/>
  <c r="U58" i="1"/>
  <c r="V58" i="1" s="1"/>
  <c r="W58" i="1" s="1"/>
  <c r="U57" i="1"/>
  <c r="V57" i="1" s="1"/>
  <c r="W57" i="1" s="1"/>
  <c r="W56" i="1"/>
  <c r="V56" i="1"/>
  <c r="U56" i="1"/>
  <c r="U55" i="1"/>
  <c r="V55" i="1" s="1"/>
  <c r="W55" i="1" s="1"/>
  <c r="U54" i="1"/>
  <c r="V54" i="1" s="1"/>
  <c r="W54" i="1" s="1"/>
  <c r="U53" i="1"/>
  <c r="V53" i="1" s="1"/>
  <c r="W53" i="1" s="1"/>
  <c r="U52" i="1"/>
  <c r="V52" i="1" s="1"/>
  <c r="W52" i="1" s="1"/>
  <c r="V51" i="1"/>
  <c r="W51" i="1" s="1"/>
  <c r="U51" i="1"/>
  <c r="U50" i="1"/>
  <c r="V50" i="1" s="1"/>
  <c r="W50" i="1" s="1"/>
  <c r="U49" i="1"/>
  <c r="V49" i="1" s="1"/>
  <c r="W49" i="1" s="1"/>
  <c r="W48" i="1"/>
  <c r="V48" i="1"/>
  <c r="U48" i="1"/>
  <c r="U47" i="1"/>
  <c r="V47" i="1" s="1"/>
  <c r="W47" i="1" s="1"/>
  <c r="U46" i="1"/>
  <c r="V46" i="1" s="1"/>
  <c r="W46" i="1" s="1"/>
  <c r="U45" i="1"/>
  <c r="V45" i="1" s="1"/>
  <c r="W45" i="1" s="1"/>
  <c r="U44" i="1"/>
  <c r="V44" i="1" s="1"/>
  <c r="W44" i="1" s="1"/>
  <c r="V43" i="1"/>
  <c r="W43" i="1" s="1"/>
  <c r="U43" i="1"/>
  <c r="U42" i="1"/>
  <c r="V42" i="1" s="1"/>
  <c r="W42" i="1" s="1"/>
  <c r="U41" i="1"/>
  <c r="V41" i="1" s="1"/>
  <c r="W41" i="1" s="1"/>
  <c r="W40" i="1"/>
  <c r="V40" i="1"/>
  <c r="U40" i="1"/>
  <c r="U39" i="1"/>
  <c r="V39" i="1" s="1"/>
  <c r="W39" i="1" s="1"/>
  <c r="U38" i="1"/>
  <c r="V38" i="1" s="1"/>
  <c r="W38" i="1" s="1"/>
  <c r="U37" i="1"/>
  <c r="V37" i="1" s="1"/>
  <c r="W37" i="1" s="1"/>
  <c r="U36" i="1"/>
  <c r="V36" i="1" s="1"/>
  <c r="W36" i="1" s="1"/>
  <c r="V35" i="1"/>
  <c r="W35" i="1" s="1"/>
  <c r="U35" i="1"/>
  <c r="U34" i="1"/>
  <c r="V34" i="1" s="1"/>
  <c r="W34" i="1" s="1"/>
  <c r="U33" i="1"/>
  <c r="V33" i="1" s="1"/>
  <c r="W33" i="1" s="1"/>
  <c r="W32" i="1"/>
  <c r="V32" i="1"/>
  <c r="U32" i="1"/>
  <c r="U31" i="1"/>
  <c r="V31" i="1" s="1"/>
  <c r="W31" i="1" s="1"/>
  <c r="U30" i="1"/>
  <c r="V30" i="1" s="1"/>
  <c r="W30" i="1" s="1"/>
  <c r="U29" i="1"/>
  <c r="V29" i="1" s="1"/>
  <c r="W29" i="1" s="1"/>
  <c r="U28" i="1"/>
  <c r="V28" i="1" s="1"/>
  <c r="W28" i="1" s="1"/>
  <c r="V27" i="1"/>
  <c r="W27" i="1" s="1"/>
  <c r="U27" i="1"/>
  <c r="U26" i="1"/>
  <c r="V26" i="1" s="1"/>
  <c r="W26" i="1" s="1"/>
  <c r="U25" i="1"/>
  <c r="V25" i="1" s="1"/>
  <c r="W25" i="1" s="1"/>
  <c r="W24" i="1"/>
  <c r="V24" i="1"/>
  <c r="U24" i="1"/>
  <c r="U23" i="1"/>
  <c r="V23" i="1" s="1"/>
  <c r="W23" i="1" s="1"/>
  <c r="U22" i="1"/>
  <c r="V22" i="1" s="1"/>
  <c r="W22" i="1" s="1"/>
  <c r="U21" i="1"/>
  <c r="V21" i="1" s="1"/>
  <c r="W21" i="1" s="1"/>
  <c r="U20" i="1"/>
  <c r="V20" i="1" s="1"/>
  <c r="W20" i="1" s="1"/>
  <c r="V19" i="1"/>
  <c r="W19" i="1" s="1"/>
  <c r="U19" i="1"/>
  <c r="U18" i="1"/>
  <c r="V18" i="1" s="1"/>
  <c r="W18" i="1" s="1"/>
  <c r="U17" i="1"/>
  <c r="V17" i="1" s="1"/>
  <c r="W17" i="1" s="1"/>
  <c r="W16" i="1"/>
  <c r="V16" i="1"/>
  <c r="U16" i="1"/>
  <c r="U15" i="1"/>
  <c r="V15" i="1" s="1"/>
  <c r="W15" i="1" s="1"/>
  <c r="U14" i="1"/>
  <c r="V14" i="1" s="1"/>
  <c r="W14" i="1" s="1"/>
  <c r="U13" i="1"/>
  <c r="V13" i="1" s="1"/>
  <c r="W13" i="1" s="1"/>
  <c r="U12" i="1"/>
  <c r="V12" i="1" s="1"/>
  <c r="W12" i="1" s="1"/>
  <c r="V11" i="1"/>
  <c r="W11" i="1" s="1"/>
  <c r="U11" i="1"/>
  <c r="U10" i="1"/>
  <c r="V10" i="1" s="1"/>
  <c r="W10" i="1" s="1"/>
  <c r="U9" i="1"/>
  <c r="V9" i="1" s="1"/>
  <c r="W9" i="1" s="1"/>
  <c r="W8" i="1"/>
  <c r="V8" i="1"/>
  <c r="U8" i="1"/>
  <c r="U7" i="1"/>
  <c r="V7" i="1" s="1"/>
  <c r="W7" i="1" s="1"/>
  <c r="U6" i="1"/>
  <c r="V6" i="1" s="1"/>
  <c r="W6" i="1" s="1"/>
  <c r="U5" i="1"/>
  <c r="V5" i="1" s="1"/>
  <c r="W5" i="1" s="1"/>
  <c r="U4" i="1"/>
  <c r="V4" i="1" s="1"/>
  <c r="W4" i="1" s="1"/>
  <c r="V3" i="1"/>
  <c r="W3" i="1" s="1"/>
  <c r="U3" i="1"/>
  <c r="L141" i="1"/>
  <c r="P141" i="1" s="1"/>
  <c r="Q141" i="1" s="1"/>
  <c r="R141" i="1" s="1"/>
  <c r="L140" i="1"/>
  <c r="P140" i="1" s="1"/>
  <c r="Q140" i="1" s="1"/>
  <c r="R140" i="1" s="1"/>
  <c r="L139" i="1"/>
  <c r="M139" i="1" s="1"/>
  <c r="N139" i="1" s="1"/>
  <c r="L138" i="1"/>
  <c r="P138" i="1" s="1"/>
  <c r="Q138" i="1" s="1"/>
  <c r="R138" i="1" s="1"/>
  <c r="L137" i="1"/>
  <c r="M137" i="1" s="1"/>
  <c r="N137" i="1" s="1"/>
  <c r="L135" i="1"/>
  <c r="L134" i="1"/>
  <c r="L133" i="1"/>
  <c r="M133" i="1" s="1"/>
  <c r="N133" i="1" s="1"/>
  <c r="R132" i="1"/>
  <c r="S132" i="1" s="1"/>
  <c r="L132" i="1"/>
  <c r="P132" i="1" s="1"/>
  <c r="Q132" i="1" s="1"/>
  <c r="L131" i="1"/>
  <c r="M131" i="1" s="1"/>
  <c r="N131" i="1" s="1"/>
  <c r="L130" i="1"/>
  <c r="M130" i="1" s="1"/>
  <c r="N130" i="1" s="1"/>
  <c r="L129" i="1"/>
  <c r="P129" i="1" s="1"/>
  <c r="Q129" i="1" s="1"/>
  <c r="R129" i="1" s="1"/>
  <c r="S129" i="1" s="1"/>
  <c r="L128" i="1"/>
  <c r="P128" i="1" s="1"/>
  <c r="Q128" i="1" s="1"/>
  <c r="R128" i="1" s="1"/>
  <c r="S128" i="1" s="1"/>
  <c r="L126" i="1"/>
  <c r="P126" i="1" s="1"/>
  <c r="Q126" i="1" s="1"/>
  <c r="R126" i="1" s="1"/>
  <c r="P125" i="1"/>
  <c r="Q125" i="1" s="1"/>
  <c r="R125" i="1" s="1"/>
  <c r="S125" i="1" s="1"/>
  <c r="P122" i="1"/>
  <c r="Q122" i="1" s="1"/>
  <c r="R122" i="1" s="1"/>
  <c r="S122" i="1" s="1"/>
  <c r="M122" i="1"/>
  <c r="N122" i="1" s="1"/>
  <c r="L121" i="1"/>
  <c r="P121" i="1" s="1"/>
  <c r="Q121" i="1" s="1"/>
  <c r="R121" i="1" s="1"/>
  <c r="S121" i="1" s="1"/>
  <c r="L120" i="1"/>
  <c r="L117" i="1"/>
  <c r="M117" i="1" s="1"/>
  <c r="N117" i="1" s="1"/>
  <c r="L116" i="1"/>
  <c r="P116" i="1" s="1"/>
  <c r="Q116" i="1" s="1"/>
  <c r="R116" i="1" s="1"/>
  <c r="S116" i="1" s="1"/>
  <c r="L114" i="1"/>
  <c r="M114" i="1" s="1"/>
  <c r="N114" i="1" s="1"/>
  <c r="P113" i="1"/>
  <c r="Q113" i="1" s="1"/>
  <c r="R113" i="1" s="1"/>
  <c r="S113" i="1" s="1"/>
  <c r="L113" i="1"/>
  <c r="M113" i="1" s="1"/>
  <c r="N113" i="1" s="1"/>
  <c r="L112" i="1"/>
  <c r="P112" i="1" s="1"/>
  <c r="Q112" i="1" s="1"/>
  <c r="R112" i="1" s="1"/>
  <c r="S112" i="1" s="1"/>
  <c r="L111" i="1"/>
  <c r="M111" i="1" s="1"/>
  <c r="N111" i="1" s="1"/>
  <c r="L110" i="1"/>
  <c r="M110" i="1" s="1"/>
  <c r="N110" i="1" s="1"/>
  <c r="L109" i="1"/>
  <c r="P109" i="1" s="1"/>
  <c r="Q109" i="1" s="1"/>
  <c r="R109" i="1" s="1"/>
  <c r="S109" i="1" s="1"/>
  <c r="L108" i="1"/>
  <c r="P108" i="1" s="1"/>
  <c r="Q108" i="1" s="1"/>
  <c r="R108" i="1" s="1"/>
  <c r="S108" i="1" s="1"/>
  <c r="L107" i="1"/>
  <c r="M107" i="1" s="1"/>
  <c r="N107" i="1" s="1"/>
  <c r="L106" i="1"/>
  <c r="P106" i="1" s="1"/>
  <c r="Q106" i="1" s="1"/>
  <c r="R106" i="1" s="1"/>
  <c r="S106" i="1" s="1"/>
  <c r="P105" i="1"/>
  <c r="Q105" i="1" s="1"/>
  <c r="R105" i="1" s="1"/>
  <c r="S105" i="1" s="1"/>
  <c r="L105" i="1"/>
  <c r="M105" i="1" s="1"/>
  <c r="N105" i="1" s="1"/>
  <c r="L104" i="1"/>
  <c r="L103" i="1"/>
  <c r="L102" i="1"/>
  <c r="L101" i="1"/>
  <c r="P101" i="1" s="1"/>
  <c r="Q101" i="1" s="1"/>
  <c r="R101" i="1" s="1"/>
  <c r="S101" i="1" s="1"/>
  <c r="L100" i="1"/>
  <c r="L99" i="1"/>
  <c r="P98" i="1"/>
  <c r="Q98" i="1" s="1"/>
  <c r="R98" i="1" s="1"/>
  <c r="S98" i="1" s="1"/>
  <c r="M98" i="1"/>
  <c r="N98" i="1" s="1"/>
  <c r="L98" i="1"/>
  <c r="L97" i="1"/>
  <c r="P97" i="1" s="1"/>
  <c r="Q97" i="1" s="1"/>
  <c r="R97" i="1" s="1"/>
  <c r="S97" i="1" s="1"/>
  <c r="L96" i="1"/>
  <c r="L95" i="1"/>
  <c r="M95" i="1" s="1"/>
  <c r="N95" i="1" s="1"/>
  <c r="Q94" i="1"/>
  <c r="R94" i="1" s="1"/>
  <c r="M94" i="1"/>
  <c r="N94" i="1" s="1"/>
  <c r="L94" i="1"/>
  <c r="P94" i="1" s="1"/>
  <c r="L93" i="1"/>
  <c r="P93" i="1" s="1"/>
  <c r="Q93" i="1" s="1"/>
  <c r="R93" i="1" s="1"/>
  <c r="S93" i="1" s="1"/>
  <c r="Q92" i="1"/>
  <c r="R92" i="1" s="1"/>
  <c r="S92" i="1" s="1"/>
  <c r="L92" i="1"/>
  <c r="P92" i="1" s="1"/>
  <c r="L90" i="1"/>
  <c r="L89" i="1"/>
  <c r="L88" i="1"/>
  <c r="L87" i="1"/>
  <c r="L84" i="1"/>
  <c r="P84" i="1" s="1"/>
  <c r="Q84" i="1" s="1"/>
  <c r="R84" i="1" s="1"/>
  <c r="S84" i="1" s="1"/>
  <c r="L80" i="1"/>
  <c r="L79" i="1"/>
  <c r="M79" i="1" s="1"/>
  <c r="N79" i="1" s="1"/>
  <c r="R78" i="1"/>
  <c r="S78" i="1" s="1"/>
  <c r="L74" i="1"/>
  <c r="P74" i="1" s="1"/>
  <c r="Q74" i="1" s="1"/>
  <c r="R74" i="1" s="1"/>
  <c r="S74" i="1" s="1"/>
  <c r="L70" i="1"/>
  <c r="M70" i="1" s="1"/>
  <c r="N70" i="1" s="1"/>
  <c r="L66" i="1"/>
  <c r="L64" i="1"/>
  <c r="L63" i="1"/>
  <c r="M63" i="1" s="1"/>
  <c r="N63" i="1" s="1"/>
  <c r="L62" i="1"/>
  <c r="L60" i="1"/>
  <c r="L54" i="1"/>
  <c r="P54" i="1" s="1"/>
  <c r="Q54" i="1" s="1"/>
  <c r="R54" i="1" s="1"/>
  <c r="S54" i="1" s="1"/>
  <c r="L53" i="1"/>
  <c r="M53" i="1" s="1"/>
  <c r="N53" i="1" s="1"/>
  <c r="L50" i="1"/>
  <c r="M50" i="1" s="1"/>
  <c r="N50" i="1" s="1"/>
  <c r="L49" i="1"/>
  <c r="M49" i="1" s="1"/>
  <c r="N49" i="1" s="1"/>
  <c r="L48" i="1"/>
  <c r="P48" i="1" s="1"/>
  <c r="Q48" i="1" s="1"/>
  <c r="R48" i="1" s="1"/>
  <c r="L46" i="1"/>
  <c r="P46" i="1" s="1"/>
  <c r="Q46" i="1" s="1"/>
  <c r="R46" i="1" s="1"/>
  <c r="S46" i="1" s="1"/>
  <c r="L45" i="1"/>
  <c r="P45" i="1" s="1"/>
  <c r="Q45" i="1" s="1"/>
  <c r="R45" i="1" s="1"/>
  <c r="S45" i="1" s="1"/>
  <c r="Q44" i="1"/>
  <c r="R44" i="1" s="1"/>
  <c r="M42" i="1"/>
  <c r="N42" i="1" s="1"/>
  <c r="L42" i="1"/>
  <c r="P42" i="1" s="1"/>
  <c r="Q42" i="1" s="1"/>
  <c r="R42" i="1" s="1"/>
  <c r="S42" i="1" s="1"/>
  <c r="L41" i="1"/>
  <c r="M41" i="1" s="1"/>
  <c r="N41" i="1" s="1"/>
  <c r="L38" i="1"/>
  <c r="M38" i="1" s="1"/>
  <c r="N38" i="1" s="1"/>
  <c r="L37" i="1"/>
  <c r="P37" i="1" s="1"/>
  <c r="Q37" i="1" s="1"/>
  <c r="R37" i="1" s="1"/>
  <c r="S37" i="1" s="1"/>
  <c r="L34" i="1"/>
  <c r="M34" i="1" s="1"/>
  <c r="N34" i="1" s="1"/>
  <c r="L33" i="1"/>
  <c r="P33" i="1" s="1"/>
  <c r="Q33" i="1" s="1"/>
  <c r="R33" i="1" s="1"/>
  <c r="S33" i="1" s="1"/>
  <c r="L31" i="1"/>
  <c r="L30" i="1"/>
  <c r="P30" i="1" s="1"/>
  <c r="Q30" i="1" s="1"/>
  <c r="R30" i="1" s="1"/>
  <c r="S30" i="1" s="1"/>
  <c r="L27" i="1"/>
  <c r="P27" i="1" s="1"/>
  <c r="Q27" i="1" s="1"/>
  <c r="R27" i="1" s="1"/>
  <c r="S27" i="1" s="1"/>
  <c r="L26" i="1"/>
  <c r="L24" i="1"/>
  <c r="P24" i="1" s="1"/>
  <c r="Q24" i="1" s="1"/>
  <c r="R24" i="1" s="1"/>
  <c r="L23" i="1"/>
  <c r="P23" i="1" s="1"/>
  <c r="Q23" i="1" s="1"/>
  <c r="R23" i="1" s="1"/>
  <c r="L22" i="1"/>
  <c r="M22" i="1" s="1"/>
  <c r="N22" i="1" s="1"/>
  <c r="L21" i="1"/>
  <c r="P21" i="1" s="1"/>
  <c r="Q21" i="1" s="1"/>
  <c r="R21" i="1" s="1"/>
  <c r="S21" i="1" s="1"/>
  <c r="L20" i="1"/>
  <c r="M20" i="1" s="1"/>
  <c r="N20" i="1" s="1"/>
  <c r="L18" i="1"/>
  <c r="M18" i="1" s="1"/>
  <c r="N18" i="1" s="1"/>
  <c r="P17" i="1"/>
  <c r="Q17" i="1" s="1"/>
  <c r="R17" i="1" s="1"/>
  <c r="M17" i="1"/>
  <c r="N17" i="1" s="1"/>
  <c r="L17" i="1"/>
  <c r="L14" i="1"/>
  <c r="M14" i="1" s="1"/>
  <c r="N14" i="1" s="1"/>
  <c r="L13" i="1"/>
  <c r="P13" i="1" s="1"/>
  <c r="Q13" i="1" s="1"/>
  <c r="R13" i="1" s="1"/>
  <c r="S13" i="1" s="1"/>
  <c r="L10" i="1"/>
  <c r="M10" i="1" s="1"/>
  <c r="N10" i="1" s="1"/>
  <c r="P9" i="1"/>
  <c r="Q9" i="1" s="1"/>
  <c r="R9" i="1" s="1"/>
  <c r="L9" i="1"/>
  <c r="M9" i="1" s="1"/>
  <c r="N9" i="1" s="1"/>
  <c r="L7" i="1"/>
  <c r="L6" i="1"/>
  <c r="M6" i="1" s="1"/>
  <c r="N6" i="1" s="1"/>
  <c r="S44" i="1"/>
  <c r="R2" i="1"/>
  <c r="Q2" i="1"/>
  <c r="G141" i="1"/>
  <c r="H141" i="1" s="1"/>
  <c r="G140" i="1"/>
  <c r="H140" i="1" s="1"/>
  <c r="G139" i="1"/>
  <c r="H139" i="1" s="1"/>
  <c r="G138" i="1"/>
  <c r="H138" i="1" s="1"/>
  <c r="J137" i="1"/>
  <c r="G137" i="1"/>
  <c r="H137" i="1" s="1"/>
  <c r="J136" i="1"/>
  <c r="L136" i="1" s="1"/>
  <c r="G136" i="1"/>
  <c r="H136" i="1" s="1"/>
  <c r="J135" i="1"/>
  <c r="G135" i="1"/>
  <c r="H135" i="1" s="1"/>
  <c r="G134" i="1"/>
  <c r="H134" i="1" s="1"/>
  <c r="G133" i="1"/>
  <c r="H133" i="1" s="1"/>
  <c r="G132" i="1"/>
  <c r="H132" i="1" s="1"/>
  <c r="G131" i="1"/>
  <c r="H131" i="1" s="1"/>
  <c r="G130" i="1"/>
  <c r="H130" i="1" s="1"/>
  <c r="G129" i="1"/>
  <c r="H129" i="1" s="1"/>
  <c r="J128" i="1"/>
  <c r="G128" i="1"/>
  <c r="H128" i="1" s="1"/>
  <c r="J127" i="1"/>
  <c r="L127" i="1" s="1"/>
  <c r="G127" i="1"/>
  <c r="H127" i="1" s="1"/>
  <c r="J126" i="1"/>
  <c r="G126" i="1"/>
  <c r="H126" i="1" s="1"/>
  <c r="J125" i="1"/>
  <c r="L125" i="1" s="1"/>
  <c r="M125" i="1" s="1"/>
  <c r="N125" i="1" s="1"/>
  <c r="G125" i="1"/>
  <c r="H125" i="1" s="1"/>
  <c r="J124" i="1"/>
  <c r="L124" i="1" s="1"/>
  <c r="P124" i="1" s="1"/>
  <c r="Q124" i="1" s="1"/>
  <c r="R124" i="1" s="1"/>
  <c r="S124" i="1" s="1"/>
  <c r="G124" i="1"/>
  <c r="H124" i="1" s="1"/>
  <c r="J123" i="1"/>
  <c r="L123" i="1" s="1"/>
  <c r="G123" i="1"/>
  <c r="H123" i="1" s="1"/>
  <c r="J122" i="1"/>
  <c r="L122" i="1" s="1"/>
  <c r="G122" i="1"/>
  <c r="H122" i="1" s="1"/>
  <c r="J121" i="1"/>
  <c r="G121" i="1"/>
  <c r="H121" i="1" s="1"/>
  <c r="J120" i="1"/>
  <c r="G120" i="1"/>
  <c r="H120" i="1" s="1"/>
  <c r="J119" i="1"/>
  <c r="L119" i="1" s="1"/>
  <c r="M119" i="1" s="1"/>
  <c r="N119" i="1" s="1"/>
  <c r="G119" i="1"/>
  <c r="H119" i="1" s="1"/>
  <c r="J118" i="1"/>
  <c r="L118" i="1" s="1"/>
  <c r="M118" i="1" s="1"/>
  <c r="N118" i="1" s="1"/>
  <c r="G118" i="1"/>
  <c r="H118" i="1" s="1"/>
  <c r="J117" i="1"/>
  <c r="G117" i="1"/>
  <c r="H117" i="1" s="1"/>
  <c r="J116" i="1"/>
  <c r="G116" i="1"/>
  <c r="H116" i="1" s="1"/>
  <c r="J115" i="1"/>
  <c r="L115" i="1" s="1"/>
  <c r="G115" i="1"/>
  <c r="H115" i="1" s="1"/>
  <c r="J114" i="1"/>
  <c r="G114" i="1"/>
  <c r="H114" i="1" s="1"/>
  <c r="G113" i="1"/>
  <c r="H113" i="1" s="1"/>
  <c r="G112" i="1"/>
  <c r="H112" i="1" s="1"/>
  <c r="G111" i="1"/>
  <c r="H111" i="1" s="1"/>
  <c r="G110" i="1"/>
  <c r="H110" i="1" s="1"/>
  <c r="G109" i="1"/>
  <c r="H109" i="1" s="1"/>
  <c r="G108" i="1"/>
  <c r="H108" i="1" s="1"/>
  <c r="G107" i="1"/>
  <c r="H107" i="1" s="1"/>
  <c r="G106" i="1"/>
  <c r="H106" i="1" s="1"/>
  <c r="G105" i="1"/>
  <c r="H105" i="1" s="1"/>
  <c r="G104" i="1"/>
  <c r="H104" i="1" s="1"/>
  <c r="G103" i="1"/>
  <c r="H103" i="1" s="1"/>
  <c r="G102" i="1"/>
  <c r="H102" i="1" s="1"/>
  <c r="G101" i="1"/>
  <c r="H101" i="1" s="1"/>
  <c r="G100" i="1"/>
  <c r="H100" i="1" s="1"/>
  <c r="G99" i="1"/>
  <c r="H99" i="1" s="1"/>
  <c r="G98" i="1"/>
  <c r="H98" i="1" s="1"/>
  <c r="G97" i="1"/>
  <c r="H97" i="1" s="1"/>
  <c r="G96" i="1"/>
  <c r="H96" i="1" s="1"/>
  <c r="G95" i="1"/>
  <c r="H95" i="1" s="1"/>
  <c r="G94" i="1"/>
  <c r="H94" i="1" s="1"/>
  <c r="G93" i="1"/>
  <c r="H93" i="1" s="1"/>
  <c r="J92" i="1"/>
  <c r="G92" i="1"/>
  <c r="H92" i="1" s="1"/>
  <c r="J91" i="1"/>
  <c r="L91" i="1" s="1"/>
  <c r="G91" i="1"/>
  <c r="H91" i="1" s="1"/>
  <c r="J90" i="1"/>
  <c r="G90" i="1"/>
  <c r="H90" i="1" s="1"/>
  <c r="J89" i="1"/>
  <c r="G89" i="1"/>
  <c r="H89" i="1" s="1"/>
  <c r="J88" i="1"/>
  <c r="G88" i="1"/>
  <c r="H88" i="1" s="1"/>
  <c r="J87" i="1"/>
  <c r="G87" i="1"/>
  <c r="H87" i="1" s="1"/>
  <c r="J86" i="1"/>
  <c r="L86" i="1" s="1"/>
  <c r="G86" i="1"/>
  <c r="H86" i="1" s="1"/>
  <c r="J85" i="1"/>
  <c r="L85" i="1" s="1"/>
  <c r="M85" i="1" s="1"/>
  <c r="N85" i="1" s="1"/>
  <c r="G85" i="1"/>
  <c r="H85" i="1" s="1"/>
  <c r="J84" i="1"/>
  <c r="G84" i="1"/>
  <c r="H84" i="1" s="1"/>
  <c r="J83" i="1"/>
  <c r="L83" i="1" s="1"/>
  <c r="M83" i="1" s="1"/>
  <c r="N83" i="1" s="1"/>
  <c r="G83" i="1"/>
  <c r="H83" i="1" s="1"/>
  <c r="J82" i="1"/>
  <c r="L82" i="1" s="1"/>
  <c r="M82" i="1" s="1"/>
  <c r="N82" i="1" s="1"/>
  <c r="G82" i="1"/>
  <c r="H82" i="1" s="1"/>
  <c r="J81" i="1"/>
  <c r="L81" i="1" s="1"/>
  <c r="G81" i="1"/>
  <c r="H81" i="1" s="1"/>
  <c r="J80" i="1"/>
  <c r="G80" i="1"/>
  <c r="H80" i="1" s="1"/>
  <c r="J79" i="1"/>
  <c r="G79" i="1"/>
  <c r="H79" i="1" s="1"/>
  <c r="J78" i="1"/>
  <c r="L78" i="1" s="1"/>
  <c r="P78" i="1" s="1"/>
  <c r="Q78" i="1" s="1"/>
  <c r="G78" i="1"/>
  <c r="H78" i="1" s="1"/>
  <c r="J77" i="1"/>
  <c r="L77" i="1" s="1"/>
  <c r="G77" i="1"/>
  <c r="H77" i="1" s="1"/>
  <c r="J76" i="1"/>
  <c r="L76" i="1" s="1"/>
  <c r="P76" i="1" s="1"/>
  <c r="Q76" i="1" s="1"/>
  <c r="R76" i="1" s="1"/>
  <c r="S76" i="1" s="1"/>
  <c r="G76" i="1"/>
  <c r="H76" i="1" s="1"/>
  <c r="J75" i="1"/>
  <c r="L75" i="1" s="1"/>
  <c r="G75" i="1"/>
  <c r="H75" i="1" s="1"/>
  <c r="J74" i="1"/>
  <c r="G74" i="1"/>
  <c r="H74" i="1" s="1"/>
  <c r="J73" i="1"/>
  <c r="L73" i="1" s="1"/>
  <c r="G73" i="1"/>
  <c r="H73" i="1" s="1"/>
  <c r="J72" i="1"/>
  <c r="L72" i="1" s="1"/>
  <c r="P72" i="1" s="1"/>
  <c r="Q72" i="1" s="1"/>
  <c r="R72" i="1" s="1"/>
  <c r="G72" i="1"/>
  <c r="H72" i="1" s="1"/>
  <c r="J71" i="1"/>
  <c r="L71" i="1" s="1"/>
  <c r="G71" i="1"/>
  <c r="H71" i="1" s="1"/>
  <c r="J70" i="1"/>
  <c r="G70" i="1"/>
  <c r="H70" i="1" s="1"/>
  <c r="J69" i="1"/>
  <c r="L69" i="1" s="1"/>
  <c r="M69" i="1" s="1"/>
  <c r="N69" i="1" s="1"/>
  <c r="G69" i="1"/>
  <c r="H69" i="1" s="1"/>
  <c r="J68" i="1"/>
  <c r="L68" i="1" s="1"/>
  <c r="P68" i="1" s="1"/>
  <c r="Q68" i="1" s="1"/>
  <c r="R68" i="1" s="1"/>
  <c r="S68" i="1" s="1"/>
  <c r="G68" i="1"/>
  <c r="H68" i="1" s="1"/>
  <c r="J67" i="1"/>
  <c r="L67" i="1" s="1"/>
  <c r="G67" i="1"/>
  <c r="H67" i="1" s="1"/>
  <c r="J66" i="1"/>
  <c r="G66" i="1"/>
  <c r="H66" i="1" s="1"/>
  <c r="J65" i="1"/>
  <c r="L65" i="1" s="1"/>
  <c r="G65" i="1"/>
  <c r="H65" i="1" s="1"/>
  <c r="J64" i="1"/>
  <c r="G64" i="1"/>
  <c r="H64" i="1" s="1"/>
  <c r="J63" i="1"/>
  <c r="G63" i="1"/>
  <c r="H63" i="1" s="1"/>
  <c r="J62" i="1"/>
  <c r="G62" i="1"/>
  <c r="H62" i="1" s="1"/>
  <c r="J61" i="1"/>
  <c r="L61" i="1" s="1"/>
  <c r="G61" i="1"/>
  <c r="H61" i="1" s="1"/>
  <c r="J60" i="1"/>
  <c r="G60" i="1"/>
  <c r="H60" i="1" s="1"/>
  <c r="J59" i="1"/>
  <c r="L59" i="1" s="1"/>
  <c r="G59" i="1"/>
  <c r="H59" i="1" s="1"/>
  <c r="J58" i="1"/>
  <c r="L58" i="1" s="1"/>
  <c r="P58" i="1" s="1"/>
  <c r="Q58" i="1" s="1"/>
  <c r="R58" i="1" s="1"/>
  <c r="S58" i="1" s="1"/>
  <c r="G58" i="1"/>
  <c r="H58" i="1" s="1"/>
  <c r="J57" i="1"/>
  <c r="L57" i="1" s="1"/>
  <c r="M57" i="1" s="1"/>
  <c r="N57" i="1" s="1"/>
  <c r="G57" i="1"/>
  <c r="H57" i="1" s="1"/>
  <c r="J56" i="1"/>
  <c r="L56" i="1" s="1"/>
  <c r="G56" i="1"/>
  <c r="H56" i="1" s="1"/>
  <c r="J55" i="1"/>
  <c r="L55" i="1" s="1"/>
  <c r="M55" i="1" s="1"/>
  <c r="N55" i="1" s="1"/>
  <c r="G55" i="1"/>
  <c r="H55" i="1" s="1"/>
  <c r="J54" i="1"/>
  <c r="G54" i="1"/>
  <c r="H54" i="1" s="1"/>
  <c r="J53" i="1"/>
  <c r="G53" i="1"/>
  <c r="H53" i="1" s="1"/>
  <c r="J52" i="1"/>
  <c r="L52" i="1" s="1"/>
  <c r="G52" i="1"/>
  <c r="H52" i="1" s="1"/>
  <c r="J51" i="1"/>
  <c r="L51" i="1" s="1"/>
  <c r="M51" i="1" s="1"/>
  <c r="N51" i="1" s="1"/>
  <c r="G51" i="1"/>
  <c r="H51" i="1" s="1"/>
  <c r="J50" i="1"/>
  <c r="G50" i="1"/>
  <c r="H50" i="1" s="1"/>
  <c r="J49" i="1"/>
  <c r="G49" i="1"/>
  <c r="H49" i="1" s="1"/>
  <c r="J48" i="1"/>
  <c r="G48" i="1"/>
  <c r="H48" i="1" s="1"/>
  <c r="J47" i="1"/>
  <c r="L47" i="1" s="1"/>
  <c r="G47" i="1"/>
  <c r="H47" i="1" s="1"/>
  <c r="J46" i="1"/>
  <c r="G46" i="1"/>
  <c r="H46" i="1" s="1"/>
  <c r="J45" i="1"/>
  <c r="G45" i="1"/>
  <c r="H45" i="1" s="1"/>
  <c r="J44" i="1"/>
  <c r="L44" i="1" s="1"/>
  <c r="P44" i="1" s="1"/>
  <c r="G44" i="1"/>
  <c r="H44" i="1" s="1"/>
  <c r="J43" i="1"/>
  <c r="L43" i="1" s="1"/>
  <c r="M43" i="1" s="1"/>
  <c r="N43" i="1" s="1"/>
  <c r="G43" i="1"/>
  <c r="H43" i="1" s="1"/>
  <c r="J42" i="1"/>
  <c r="G42" i="1"/>
  <c r="H42" i="1" s="1"/>
  <c r="J41" i="1"/>
  <c r="G41" i="1"/>
  <c r="H41" i="1" s="1"/>
  <c r="J40" i="1"/>
  <c r="L40" i="1" s="1"/>
  <c r="P40" i="1" s="1"/>
  <c r="Q40" i="1" s="1"/>
  <c r="R40" i="1" s="1"/>
  <c r="G40" i="1"/>
  <c r="H40" i="1" s="1"/>
  <c r="J39" i="1"/>
  <c r="L39" i="1" s="1"/>
  <c r="G39" i="1"/>
  <c r="H39" i="1" s="1"/>
  <c r="J38" i="1"/>
  <c r="G38" i="1"/>
  <c r="H38" i="1" s="1"/>
  <c r="J37" i="1"/>
  <c r="G37" i="1"/>
  <c r="H37" i="1" s="1"/>
  <c r="J36" i="1"/>
  <c r="L36" i="1" s="1"/>
  <c r="P36" i="1" s="1"/>
  <c r="Q36" i="1" s="1"/>
  <c r="R36" i="1" s="1"/>
  <c r="S36" i="1" s="1"/>
  <c r="G36" i="1"/>
  <c r="H36" i="1" s="1"/>
  <c r="J35" i="1"/>
  <c r="L35" i="1" s="1"/>
  <c r="G35" i="1"/>
  <c r="H35" i="1" s="1"/>
  <c r="J34" i="1"/>
  <c r="G34" i="1"/>
  <c r="H34" i="1" s="1"/>
  <c r="J33" i="1"/>
  <c r="G33" i="1"/>
  <c r="H33" i="1" s="1"/>
  <c r="J32" i="1"/>
  <c r="L32" i="1" s="1"/>
  <c r="G32" i="1"/>
  <c r="H32" i="1" s="1"/>
  <c r="J31" i="1"/>
  <c r="G31" i="1"/>
  <c r="H31" i="1" s="1"/>
  <c r="J30" i="1"/>
  <c r="G30" i="1"/>
  <c r="H30" i="1" s="1"/>
  <c r="J29" i="1"/>
  <c r="L29" i="1" s="1"/>
  <c r="M29" i="1" s="1"/>
  <c r="N29" i="1" s="1"/>
  <c r="G29" i="1"/>
  <c r="H29" i="1" s="1"/>
  <c r="J28" i="1"/>
  <c r="L28" i="1" s="1"/>
  <c r="G28" i="1"/>
  <c r="H28" i="1" s="1"/>
  <c r="J27" i="1"/>
  <c r="G27" i="1"/>
  <c r="H27" i="1" s="1"/>
  <c r="J26" i="1"/>
  <c r="G26" i="1"/>
  <c r="H26" i="1" s="1"/>
  <c r="J25" i="1"/>
  <c r="L25" i="1" s="1"/>
  <c r="G25" i="1"/>
  <c r="H25" i="1" s="1"/>
  <c r="J24" i="1"/>
  <c r="G24" i="1"/>
  <c r="H24" i="1" s="1"/>
  <c r="J23" i="1"/>
  <c r="G23" i="1"/>
  <c r="H23" i="1" s="1"/>
  <c r="J22" i="1"/>
  <c r="G22" i="1"/>
  <c r="H22" i="1" s="1"/>
  <c r="J21" i="1"/>
  <c r="G21" i="1"/>
  <c r="H21" i="1" s="1"/>
  <c r="J20" i="1"/>
  <c r="G20" i="1"/>
  <c r="H20" i="1" s="1"/>
  <c r="J19" i="1"/>
  <c r="L19" i="1" s="1"/>
  <c r="G19" i="1"/>
  <c r="H19" i="1" s="1"/>
  <c r="J18" i="1"/>
  <c r="G18" i="1"/>
  <c r="H18" i="1" s="1"/>
  <c r="J17" i="1"/>
  <c r="G17" i="1"/>
  <c r="H17" i="1" s="1"/>
  <c r="J16" i="1"/>
  <c r="L16" i="1" s="1"/>
  <c r="G16" i="1"/>
  <c r="H16" i="1" s="1"/>
  <c r="J15" i="1"/>
  <c r="L15" i="1" s="1"/>
  <c r="P15" i="1" s="1"/>
  <c r="Q15" i="1" s="1"/>
  <c r="R15" i="1" s="1"/>
  <c r="G15" i="1"/>
  <c r="H15" i="1" s="1"/>
  <c r="J14" i="1"/>
  <c r="G14" i="1"/>
  <c r="H14" i="1" s="1"/>
  <c r="J13" i="1"/>
  <c r="G13" i="1"/>
  <c r="H13" i="1" s="1"/>
  <c r="J12" i="1"/>
  <c r="L12" i="1" s="1"/>
  <c r="G12" i="1"/>
  <c r="H12" i="1" s="1"/>
  <c r="J11" i="1"/>
  <c r="L11" i="1" s="1"/>
  <c r="G11" i="1"/>
  <c r="H11" i="1" s="1"/>
  <c r="J10" i="1"/>
  <c r="G10" i="1"/>
  <c r="H10" i="1" s="1"/>
  <c r="J9" i="1"/>
  <c r="G9" i="1"/>
  <c r="H9" i="1" s="1"/>
  <c r="J8" i="1"/>
  <c r="L8" i="1" s="1"/>
  <c r="M8" i="1" s="1"/>
  <c r="N8" i="1" s="1"/>
  <c r="G8" i="1"/>
  <c r="H8" i="1" s="1"/>
  <c r="J7" i="1"/>
  <c r="G7" i="1"/>
  <c r="H7" i="1" s="1"/>
  <c r="J6" i="1"/>
  <c r="G6" i="1"/>
  <c r="H6" i="1" s="1"/>
  <c r="J5" i="1"/>
  <c r="L5" i="1" s="1"/>
  <c r="G5" i="1"/>
  <c r="H5" i="1" s="1"/>
  <c r="J4" i="1"/>
  <c r="L4" i="1" s="1"/>
  <c r="G4" i="1"/>
  <c r="H4" i="1" s="1"/>
  <c r="J3" i="1"/>
  <c r="L3" i="1" s="1"/>
  <c r="P3" i="1" s="1"/>
  <c r="Q3" i="1" s="1"/>
  <c r="R3" i="1" s="1"/>
  <c r="S3" i="1" s="1"/>
  <c r="G3" i="1"/>
  <c r="H3" i="1" s="1"/>
  <c r="P4" i="1" l="1"/>
  <c r="Q4" i="1" s="1"/>
  <c r="R4" i="1" s="1"/>
  <c r="S4" i="1" s="1"/>
  <c r="M4" i="1"/>
  <c r="N4" i="1" s="1"/>
  <c r="M67" i="1"/>
  <c r="N67" i="1" s="1"/>
  <c r="P67" i="1"/>
  <c r="Q67" i="1" s="1"/>
  <c r="R67" i="1" s="1"/>
  <c r="S67" i="1" s="1"/>
  <c r="P60" i="1"/>
  <c r="Q60" i="1" s="1"/>
  <c r="R60" i="1" s="1"/>
  <c r="S60" i="1" s="1"/>
  <c r="M60" i="1"/>
  <c r="N60" i="1" s="1"/>
  <c r="M102" i="1"/>
  <c r="N102" i="1" s="1"/>
  <c r="P102" i="1"/>
  <c r="Q102" i="1" s="1"/>
  <c r="R102" i="1" s="1"/>
  <c r="S102" i="1" s="1"/>
  <c r="P5" i="1"/>
  <c r="Q5" i="1" s="1"/>
  <c r="R5" i="1" s="1"/>
  <c r="S5" i="1" s="1"/>
  <c r="M5" i="1"/>
  <c r="N5" i="1" s="1"/>
  <c r="P25" i="1"/>
  <c r="Q25" i="1" s="1"/>
  <c r="R25" i="1" s="1"/>
  <c r="S25" i="1" s="1"/>
  <c r="M25" i="1"/>
  <c r="N25" i="1" s="1"/>
  <c r="P61" i="1"/>
  <c r="Q61" i="1" s="1"/>
  <c r="R61" i="1" s="1"/>
  <c r="S61" i="1" s="1"/>
  <c r="M61" i="1"/>
  <c r="N61" i="1" s="1"/>
  <c r="P65" i="1"/>
  <c r="Q65" i="1" s="1"/>
  <c r="R65" i="1" s="1"/>
  <c r="S65" i="1" s="1"/>
  <c r="M65" i="1"/>
  <c r="N65" i="1" s="1"/>
  <c r="M73" i="1"/>
  <c r="N73" i="1" s="1"/>
  <c r="P73" i="1"/>
  <c r="Q73" i="1" s="1"/>
  <c r="R73" i="1" s="1"/>
  <c r="P130" i="1"/>
  <c r="Q130" i="1" s="1"/>
  <c r="R130" i="1" s="1"/>
  <c r="S130" i="1" s="1"/>
  <c r="P29" i="1"/>
  <c r="Q29" i="1" s="1"/>
  <c r="R29" i="1" s="1"/>
  <c r="S29" i="1" s="1"/>
  <c r="P69" i="1"/>
  <c r="Q69" i="1" s="1"/>
  <c r="R69" i="1" s="1"/>
  <c r="S69" i="1" s="1"/>
  <c r="M109" i="1"/>
  <c r="N109" i="1" s="1"/>
  <c r="M86" i="1"/>
  <c r="N86" i="1" s="1"/>
  <c r="P86" i="1"/>
  <c r="Q86" i="1" s="1"/>
  <c r="R86" i="1" s="1"/>
  <c r="S86" i="1" s="1"/>
  <c r="M24" i="1"/>
  <c r="N24" i="1" s="1"/>
  <c r="P38" i="1"/>
  <c r="Q38" i="1" s="1"/>
  <c r="R38" i="1" s="1"/>
  <c r="S38" i="1" s="1"/>
  <c r="M54" i="1"/>
  <c r="N54" i="1" s="1"/>
  <c r="P79" i="1"/>
  <c r="Q79" i="1" s="1"/>
  <c r="R79" i="1" s="1"/>
  <c r="M99" i="1"/>
  <c r="N99" i="1" s="1"/>
  <c r="P99" i="1"/>
  <c r="Q99" i="1" s="1"/>
  <c r="R99" i="1" s="1"/>
  <c r="S99" i="1" s="1"/>
  <c r="P137" i="1"/>
  <c r="Q137" i="1" s="1"/>
  <c r="R137" i="1" s="1"/>
  <c r="P7" i="1"/>
  <c r="Q7" i="1" s="1"/>
  <c r="R7" i="1" s="1"/>
  <c r="S7" i="1" s="1"/>
  <c r="M7" i="1"/>
  <c r="N7" i="1" s="1"/>
  <c r="M13" i="1"/>
  <c r="N13" i="1" s="1"/>
  <c r="M31" i="1"/>
  <c r="N31" i="1" s="1"/>
  <c r="P31" i="1"/>
  <c r="Q31" i="1" s="1"/>
  <c r="R31" i="1" s="1"/>
  <c r="S31" i="1" s="1"/>
  <c r="M46" i="1"/>
  <c r="N46" i="1" s="1"/>
  <c r="P64" i="1"/>
  <c r="Q64" i="1" s="1"/>
  <c r="R64" i="1" s="1"/>
  <c r="S64" i="1" s="1"/>
  <c r="M64" i="1"/>
  <c r="N64" i="1" s="1"/>
  <c r="P70" i="1"/>
  <c r="Q70" i="1" s="1"/>
  <c r="R70" i="1" s="1"/>
  <c r="S70" i="1" s="1"/>
  <c r="P80" i="1"/>
  <c r="Q80" i="1" s="1"/>
  <c r="R80" i="1" s="1"/>
  <c r="M80" i="1"/>
  <c r="N80" i="1" s="1"/>
  <c r="P90" i="1"/>
  <c r="Q90" i="1" s="1"/>
  <c r="R90" i="1" s="1"/>
  <c r="S90" i="1" s="1"/>
  <c r="M90" i="1"/>
  <c r="N90" i="1" s="1"/>
  <c r="P19" i="1"/>
  <c r="Q19" i="1" s="1"/>
  <c r="R19" i="1" s="1"/>
  <c r="S19" i="1" s="1"/>
  <c r="M19" i="1"/>
  <c r="N19" i="1" s="1"/>
  <c r="M35" i="1"/>
  <c r="N35" i="1" s="1"/>
  <c r="P35" i="1"/>
  <c r="Q35" i="1" s="1"/>
  <c r="R35" i="1" s="1"/>
  <c r="S35" i="1" s="1"/>
  <c r="M47" i="1"/>
  <c r="N47" i="1" s="1"/>
  <c r="P47" i="1"/>
  <c r="Q47" i="1" s="1"/>
  <c r="R47" i="1" s="1"/>
  <c r="P136" i="1"/>
  <c r="Q136" i="1" s="1"/>
  <c r="R136" i="1" s="1"/>
  <c r="M136" i="1"/>
  <c r="N136" i="1" s="1"/>
  <c r="M58" i="1"/>
  <c r="N58" i="1" s="1"/>
  <c r="P82" i="1"/>
  <c r="Q82" i="1" s="1"/>
  <c r="R82" i="1" s="1"/>
  <c r="S82" i="1" s="1"/>
  <c r="P119" i="1"/>
  <c r="Q119" i="1" s="1"/>
  <c r="R119" i="1" s="1"/>
  <c r="S119" i="1" s="1"/>
  <c r="M3" i="1"/>
  <c r="N3" i="1" s="1"/>
  <c r="P41" i="1"/>
  <c r="Q41" i="1" s="1"/>
  <c r="R41" i="1" s="1"/>
  <c r="M48" i="1"/>
  <c r="N48" i="1" s="1"/>
  <c r="M92" i="1"/>
  <c r="N92" i="1" s="1"/>
  <c r="P96" i="1"/>
  <c r="Q96" i="1" s="1"/>
  <c r="R96" i="1" s="1"/>
  <c r="M96" i="1"/>
  <c r="N96" i="1" s="1"/>
  <c r="M12" i="1"/>
  <c r="N12" i="1" s="1"/>
  <c r="P12" i="1"/>
  <c r="Q12" i="1" s="1"/>
  <c r="R12" i="1" s="1"/>
  <c r="S12" i="1" s="1"/>
  <c r="P16" i="1"/>
  <c r="Q16" i="1" s="1"/>
  <c r="R16" i="1" s="1"/>
  <c r="S16" i="1" s="1"/>
  <c r="M16" i="1"/>
  <c r="N16" i="1" s="1"/>
  <c r="P32" i="1"/>
  <c r="Q32" i="1" s="1"/>
  <c r="R32" i="1" s="1"/>
  <c r="S32" i="1" s="1"/>
  <c r="M32" i="1"/>
  <c r="N32" i="1" s="1"/>
  <c r="P52" i="1"/>
  <c r="Q52" i="1" s="1"/>
  <c r="R52" i="1" s="1"/>
  <c r="S52" i="1" s="1"/>
  <c r="M52" i="1"/>
  <c r="N52" i="1" s="1"/>
  <c r="M21" i="1"/>
  <c r="N21" i="1" s="1"/>
  <c r="M134" i="1"/>
  <c r="N134" i="1" s="1"/>
  <c r="P134" i="1"/>
  <c r="Q134" i="1" s="1"/>
  <c r="R134" i="1" s="1"/>
  <c r="S134" i="1" s="1"/>
  <c r="P111" i="1"/>
  <c r="Q111" i="1" s="1"/>
  <c r="R111" i="1" s="1"/>
  <c r="M121" i="1"/>
  <c r="N121" i="1" s="1"/>
  <c r="M128" i="1"/>
  <c r="N128" i="1" s="1"/>
  <c r="M93" i="1"/>
  <c r="N93" i="1" s="1"/>
  <c r="P107" i="1"/>
  <c r="Q107" i="1" s="1"/>
  <c r="R107" i="1" s="1"/>
  <c r="S107" i="1" s="1"/>
  <c r="P117" i="1"/>
  <c r="Q117" i="1" s="1"/>
  <c r="R117" i="1" s="1"/>
  <c r="S117" i="1" s="1"/>
  <c r="P131" i="1"/>
  <c r="Q131" i="1" s="1"/>
  <c r="R131" i="1" s="1"/>
  <c r="S131" i="1" s="1"/>
  <c r="P22" i="1"/>
  <c r="Q22" i="1" s="1"/>
  <c r="R22" i="1" s="1"/>
  <c r="S22" i="1" s="1"/>
  <c r="M132" i="1"/>
  <c r="N132" i="1" s="1"/>
  <c r="M75" i="1"/>
  <c r="N75" i="1" s="1"/>
  <c r="P75" i="1"/>
  <c r="Q75" i="1" s="1"/>
  <c r="R75" i="1" s="1"/>
  <c r="S75" i="1" s="1"/>
  <c r="M71" i="1"/>
  <c r="N71" i="1" s="1"/>
  <c r="P71" i="1"/>
  <c r="Q71" i="1" s="1"/>
  <c r="R71" i="1" s="1"/>
  <c r="P50" i="1"/>
  <c r="Q50" i="1" s="1"/>
  <c r="R50" i="1" s="1"/>
  <c r="S50" i="1" s="1"/>
  <c r="M87" i="1"/>
  <c r="N87" i="1" s="1"/>
  <c r="P87" i="1"/>
  <c r="Q87" i="1" s="1"/>
  <c r="R87" i="1" s="1"/>
  <c r="S87" i="1" s="1"/>
  <c r="M138" i="1"/>
  <c r="N138" i="1" s="1"/>
  <c r="M33" i="1"/>
  <c r="N33" i="1" s="1"/>
  <c r="P77" i="1"/>
  <c r="Q77" i="1" s="1"/>
  <c r="R77" i="1" s="1"/>
  <c r="S77" i="1" s="1"/>
  <c r="M77" i="1"/>
  <c r="N77" i="1" s="1"/>
  <c r="M89" i="1"/>
  <c r="N89" i="1" s="1"/>
  <c r="P89" i="1"/>
  <c r="Q89" i="1" s="1"/>
  <c r="R89" i="1" s="1"/>
  <c r="S89" i="1" s="1"/>
  <c r="P100" i="1"/>
  <c r="Q100" i="1" s="1"/>
  <c r="R100" i="1" s="1"/>
  <c r="S100" i="1" s="1"/>
  <c r="M100" i="1"/>
  <c r="N100" i="1" s="1"/>
  <c r="P56" i="1"/>
  <c r="Q56" i="1" s="1"/>
  <c r="R56" i="1" s="1"/>
  <c r="S56" i="1" s="1"/>
  <c r="M56" i="1"/>
  <c r="N56" i="1" s="1"/>
  <c r="P81" i="1"/>
  <c r="Q81" i="1" s="1"/>
  <c r="R81" i="1" s="1"/>
  <c r="M81" i="1"/>
  <c r="N81" i="1" s="1"/>
  <c r="M127" i="1"/>
  <c r="N127" i="1" s="1"/>
  <c r="P127" i="1"/>
  <c r="Q127" i="1" s="1"/>
  <c r="R127" i="1" s="1"/>
  <c r="P11" i="1"/>
  <c r="Q11" i="1" s="1"/>
  <c r="R11" i="1" s="1"/>
  <c r="S11" i="1" s="1"/>
  <c r="M11" i="1"/>
  <c r="N11" i="1" s="1"/>
  <c r="P14" i="1"/>
  <c r="Q14" i="1" s="1"/>
  <c r="R14" i="1" s="1"/>
  <c r="S14" i="1" s="1"/>
  <c r="M26" i="1"/>
  <c r="N26" i="1" s="1"/>
  <c r="P26" i="1"/>
  <c r="Q26" i="1" s="1"/>
  <c r="R26" i="1" s="1"/>
  <c r="S26" i="1" s="1"/>
  <c r="M37" i="1"/>
  <c r="N37" i="1" s="1"/>
  <c r="P62" i="1"/>
  <c r="Q62" i="1" s="1"/>
  <c r="R62" i="1" s="1"/>
  <c r="S62" i="1" s="1"/>
  <c r="M62" i="1"/>
  <c r="N62" i="1" s="1"/>
  <c r="P104" i="1"/>
  <c r="Q104" i="1" s="1"/>
  <c r="R104" i="1" s="1"/>
  <c r="S104" i="1" s="1"/>
  <c r="M104" i="1"/>
  <c r="N104" i="1" s="1"/>
  <c r="M115" i="1"/>
  <c r="N115" i="1" s="1"/>
  <c r="P115" i="1"/>
  <c r="Q115" i="1" s="1"/>
  <c r="R115" i="1" s="1"/>
  <c r="S115" i="1" s="1"/>
  <c r="P66" i="1"/>
  <c r="Q66" i="1" s="1"/>
  <c r="R66" i="1" s="1"/>
  <c r="S66" i="1" s="1"/>
  <c r="M66" i="1"/>
  <c r="N66" i="1" s="1"/>
  <c r="P28" i="1"/>
  <c r="Q28" i="1" s="1"/>
  <c r="R28" i="1" s="1"/>
  <c r="S28" i="1" s="1"/>
  <c r="M28" i="1"/>
  <c r="N28" i="1" s="1"/>
  <c r="M123" i="1"/>
  <c r="N123" i="1" s="1"/>
  <c r="P123" i="1"/>
  <c r="Q123" i="1" s="1"/>
  <c r="R123" i="1" s="1"/>
  <c r="S123" i="1" s="1"/>
  <c r="M39" i="1"/>
  <c r="N39" i="1" s="1"/>
  <c r="P39" i="1"/>
  <c r="Q39" i="1" s="1"/>
  <c r="R39" i="1" s="1"/>
  <c r="S39" i="1" s="1"/>
  <c r="P6" i="1"/>
  <c r="Q6" i="1" s="1"/>
  <c r="R6" i="1" s="1"/>
  <c r="S6" i="1" s="1"/>
  <c r="M23" i="1"/>
  <c r="N23" i="1" s="1"/>
  <c r="M91" i="1"/>
  <c r="N91" i="1" s="1"/>
  <c r="P91" i="1"/>
  <c r="Q91" i="1" s="1"/>
  <c r="R91" i="1" s="1"/>
  <c r="S91" i="1" s="1"/>
  <c r="P18" i="1"/>
  <c r="Q18" i="1" s="1"/>
  <c r="R18" i="1" s="1"/>
  <c r="S18" i="1" s="1"/>
  <c r="M45" i="1"/>
  <c r="N45" i="1" s="1"/>
  <c r="P83" i="1"/>
  <c r="Q83" i="1" s="1"/>
  <c r="R83" i="1" s="1"/>
  <c r="S83" i="1" s="1"/>
  <c r="P8" i="1"/>
  <c r="Q8" i="1" s="1"/>
  <c r="R8" i="1" s="1"/>
  <c r="P55" i="1"/>
  <c r="Q55" i="1" s="1"/>
  <c r="R55" i="1" s="1"/>
  <c r="S55" i="1" s="1"/>
  <c r="M78" i="1"/>
  <c r="N78" i="1" s="1"/>
  <c r="P95" i="1"/>
  <c r="Q95" i="1" s="1"/>
  <c r="R95" i="1" s="1"/>
  <c r="M97" i="1"/>
  <c r="N97" i="1" s="1"/>
  <c r="M101" i="1"/>
  <c r="N101" i="1" s="1"/>
  <c r="P110" i="1"/>
  <c r="Q110" i="1" s="1"/>
  <c r="R110" i="1" s="1"/>
  <c r="S110" i="1" s="1"/>
  <c r="M112" i="1"/>
  <c r="N112" i="1" s="1"/>
  <c r="P114" i="1"/>
  <c r="Q114" i="1" s="1"/>
  <c r="R114" i="1" s="1"/>
  <c r="S114" i="1" s="1"/>
  <c r="M124" i="1"/>
  <c r="N124" i="1" s="1"/>
  <c r="P133" i="1"/>
  <c r="Q133" i="1" s="1"/>
  <c r="R133" i="1" s="1"/>
  <c r="S133" i="1" s="1"/>
  <c r="P10" i="1"/>
  <c r="Q10" i="1" s="1"/>
  <c r="R10" i="1" s="1"/>
  <c r="S10" i="1" s="1"/>
  <c r="P20" i="1"/>
  <c r="Q20" i="1" s="1"/>
  <c r="R20" i="1" s="1"/>
  <c r="S20" i="1" s="1"/>
  <c r="M27" i="1"/>
  <c r="N27" i="1" s="1"/>
  <c r="P34" i="1"/>
  <c r="Q34" i="1" s="1"/>
  <c r="R34" i="1" s="1"/>
  <c r="S34" i="1" s="1"/>
  <c r="M36" i="1"/>
  <c r="N36" i="1" s="1"/>
  <c r="M40" i="1"/>
  <c r="N40" i="1" s="1"/>
  <c r="P49" i="1"/>
  <c r="Q49" i="1" s="1"/>
  <c r="R49" i="1" s="1"/>
  <c r="P51" i="1"/>
  <c r="Q51" i="1" s="1"/>
  <c r="R51" i="1" s="1"/>
  <c r="S51" i="1" s="1"/>
  <c r="P57" i="1"/>
  <c r="Q57" i="1" s="1"/>
  <c r="R57" i="1" s="1"/>
  <c r="S57" i="1" s="1"/>
  <c r="M84" i="1"/>
  <c r="N84" i="1" s="1"/>
  <c r="P88" i="1"/>
  <c r="Q88" i="1" s="1"/>
  <c r="R88" i="1" s="1"/>
  <c r="S88" i="1" s="1"/>
  <c r="M88" i="1"/>
  <c r="N88" i="1" s="1"/>
  <c r="M103" i="1"/>
  <c r="N103" i="1" s="1"/>
  <c r="P103" i="1"/>
  <c r="Q103" i="1" s="1"/>
  <c r="R103" i="1" s="1"/>
  <c r="S103" i="1" s="1"/>
  <c r="P118" i="1"/>
  <c r="Q118" i="1" s="1"/>
  <c r="R118" i="1" s="1"/>
  <c r="M126" i="1"/>
  <c r="N126" i="1" s="1"/>
  <c r="P139" i="1"/>
  <c r="Q139" i="1" s="1"/>
  <c r="R139" i="1" s="1"/>
  <c r="M141" i="1"/>
  <c r="N141" i="1" s="1"/>
  <c r="P85" i="1"/>
  <c r="Q85" i="1" s="1"/>
  <c r="R85" i="1" s="1"/>
  <c r="S85" i="1" s="1"/>
  <c r="M106" i="1"/>
  <c r="N106" i="1" s="1"/>
  <c r="M129" i="1"/>
  <c r="N129" i="1" s="1"/>
  <c r="M30" i="1"/>
  <c r="N30" i="1" s="1"/>
  <c r="P43" i="1"/>
  <c r="Q43" i="1" s="1"/>
  <c r="R43" i="1" s="1"/>
  <c r="S43" i="1" s="1"/>
  <c r="M68" i="1"/>
  <c r="N68" i="1" s="1"/>
  <c r="M72" i="1"/>
  <c r="N72" i="1" s="1"/>
  <c r="M116" i="1"/>
  <c r="N116" i="1" s="1"/>
  <c r="P120" i="1"/>
  <c r="Q120" i="1" s="1"/>
  <c r="R120" i="1" s="1"/>
  <c r="S120" i="1" s="1"/>
  <c r="M120" i="1"/>
  <c r="N120" i="1" s="1"/>
  <c r="M135" i="1"/>
  <c r="N135" i="1" s="1"/>
  <c r="P135" i="1"/>
  <c r="Q135" i="1" s="1"/>
  <c r="R135" i="1" s="1"/>
  <c r="S135" i="1" s="1"/>
  <c r="M15" i="1"/>
  <c r="N15" i="1" s="1"/>
  <c r="P53" i="1"/>
  <c r="Q53" i="1" s="1"/>
  <c r="R53" i="1" s="1"/>
  <c r="S53" i="1" s="1"/>
  <c r="M59" i="1"/>
  <c r="N59" i="1" s="1"/>
  <c r="P59" i="1"/>
  <c r="Q59" i="1" s="1"/>
  <c r="R59" i="1" s="1"/>
  <c r="S59" i="1" s="1"/>
  <c r="M74" i="1"/>
  <c r="N74" i="1" s="1"/>
  <c r="P63" i="1"/>
  <c r="Q63" i="1" s="1"/>
  <c r="R63" i="1" s="1"/>
  <c r="S63" i="1" s="1"/>
  <c r="M44" i="1"/>
  <c r="N44" i="1" s="1"/>
  <c r="M76" i="1"/>
  <c r="N76" i="1" s="1"/>
  <c r="M108" i="1"/>
  <c r="N108" i="1" s="1"/>
  <c r="M140" i="1"/>
  <c r="N140" i="1" s="1"/>
  <c r="S23" i="1"/>
  <c r="S47" i="1"/>
  <c r="S71" i="1"/>
  <c r="S79" i="1"/>
  <c r="S40" i="1"/>
  <c r="S72" i="1"/>
  <c r="S80" i="1"/>
  <c r="S95" i="1"/>
  <c r="S126" i="1"/>
  <c r="S9" i="1"/>
  <c r="S17" i="1"/>
  <c r="S41" i="1"/>
  <c r="S73" i="1"/>
  <c r="S118" i="1"/>
  <c r="S48" i="1"/>
  <c r="S15" i="1"/>
  <c r="S127" i="1"/>
  <c r="S94" i="1"/>
  <c r="S8" i="1"/>
  <c r="S81" i="1"/>
  <c r="S96" i="1"/>
  <c r="S24" i="1"/>
  <c r="S49" i="1"/>
  <c r="S111" i="1"/>
</calcChain>
</file>

<file path=xl/sharedStrings.xml><?xml version="1.0" encoding="utf-8"?>
<sst xmlns="http://schemas.openxmlformats.org/spreadsheetml/2006/main" count="293" uniqueCount="155">
  <si>
    <t>S.No.</t>
  </si>
  <si>
    <t>Category</t>
  </si>
  <si>
    <t>Dish Name</t>
  </si>
  <si>
    <t>Cost (AED)</t>
  </si>
  <si>
    <t>Sell Price (AED)</t>
  </si>
  <si>
    <t>Margin</t>
  </si>
  <si>
    <t>Margin%</t>
  </si>
  <si>
    <t>Ideal Price</t>
  </si>
  <si>
    <t>Final Price</t>
  </si>
  <si>
    <t>Beef Burger</t>
  </si>
  <si>
    <t>Classic Beef Burger</t>
  </si>
  <si>
    <t>Cowboy Beef Burger</t>
  </si>
  <si>
    <t>Beef Slaw Burger</t>
  </si>
  <si>
    <t>Beef Burger Quesadilla</t>
  </si>
  <si>
    <t>Buffalo Beef Burger</t>
  </si>
  <si>
    <t>Texas Beef Burger</t>
  </si>
  <si>
    <t>Mushroom Beef Burger</t>
  </si>
  <si>
    <t>Mushroom Truffle Beef Burger</t>
  </si>
  <si>
    <t>Beef Double Cheese Burger</t>
  </si>
  <si>
    <t>Double Beef Burger</t>
  </si>
  <si>
    <t>Bacon Beef Burger</t>
  </si>
  <si>
    <t>BBQ Crispy Beef Burger</t>
  </si>
  <si>
    <t>Mexican Crunch Beef Burger</t>
  </si>
  <si>
    <t>Chicken Burger</t>
  </si>
  <si>
    <t>Grilled Classic Chicken Burger</t>
  </si>
  <si>
    <t>Crispy Chicken Burger</t>
  </si>
  <si>
    <t>Chicken Truffle Burger</t>
  </si>
  <si>
    <t>Honey BBQ Chicken Burger</t>
  </si>
  <si>
    <t>Chicken Crunchy Slaw Burger</t>
  </si>
  <si>
    <t>Chicken Dynamite Burger</t>
  </si>
  <si>
    <t>Chicken Honey Mustard Burger</t>
  </si>
  <si>
    <t>Chicken Avocado Burger</t>
  </si>
  <si>
    <t>Chicken Buffalo Burger</t>
  </si>
  <si>
    <t>Mexican Crunch Chicken Burger</t>
  </si>
  <si>
    <t>Hot Honey Burger</t>
  </si>
  <si>
    <t>Asian Ranch Burger</t>
  </si>
  <si>
    <t>Italian Chicken Burger</t>
  </si>
  <si>
    <t>Chili Chicken Burger</t>
  </si>
  <si>
    <t>Sliders</t>
  </si>
  <si>
    <t>Classic Beef Sliders</t>
  </si>
  <si>
    <t>Cowboy Beef Sliders</t>
  </si>
  <si>
    <t>Beef Slaw Sliders</t>
  </si>
  <si>
    <t>Beef Sliders Quesadilla</t>
  </si>
  <si>
    <t>Buffalo Beef Sliders</t>
  </si>
  <si>
    <t>Texas Beef Sliders</t>
  </si>
  <si>
    <t>Mushroom Beef Sliders</t>
  </si>
  <si>
    <t>Mushroom Truffle Beef Sliders</t>
  </si>
  <si>
    <t>Beef Double Cheese Sliders</t>
  </si>
  <si>
    <t>Double Beef Sliders</t>
  </si>
  <si>
    <t>Bacon Beef Sliders</t>
  </si>
  <si>
    <t>BBQ Crispy Beef Sliders</t>
  </si>
  <si>
    <t>Mexican Crunch Beef Sliders</t>
  </si>
  <si>
    <t>Grilled Classic Chicken Sliders</t>
  </si>
  <si>
    <t>Crispy Chicken Sliders</t>
  </si>
  <si>
    <t>Chicken Truffle Sliders</t>
  </si>
  <si>
    <t>Honey BBQ Chicken Sliders</t>
  </si>
  <si>
    <t>Chicken Crunchy Slaw Sliders</t>
  </si>
  <si>
    <t>Chicken House Slaw (Portion) Sliders</t>
  </si>
  <si>
    <t>Chicken Dynamite Sliders</t>
  </si>
  <si>
    <t>Chicken Honey Mustard Sliders</t>
  </si>
  <si>
    <t>Chicken Avocado Sliders</t>
  </si>
  <si>
    <t>Chicken Buffalo Sliders</t>
  </si>
  <si>
    <t>Mexican Crunch Chicken Sliders</t>
  </si>
  <si>
    <t>Hot Honey Sliders</t>
  </si>
  <si>
    <t>Asian Ranch Sliders</t>
  </si>
  <si>
    <t>Italian Chicken Sliders</t>
  </si>
  <si>
    <t>Chili Chicken Sliders</t>
  </si>
  <si>
    <t>Classic Grilled Halloumi Slider</t>
  </si>
  <si>
    <t>Buffalo Grilled Halloumi Slider</t>
  </si>
  <si>
    <t>BBQ Grilled Halloumi Slider</t>
  </si>
  <si>
    <t>Honey Mustard Grilled Halloumi Slider</t>
  </si>
  <si>
    <t>Avocado Grilled Halloumi Slider</t>
  </si>
  <si>
    <t>Classic Falafel Slider</t>
  </si>
  <si>
    <t>Buffalo Falafel Slider</t>
  </si>
  <si>
    <t>BBQ Falafel Slider</t>
  </si>
  <si>
    <t>Honey Mustard Falafel Slider</t>
  </si>
  <si>
    <t>Avocado Falafel Slider</t>
  </si>
  <si>
    <t>Wings, Tenders &amp; Wraps</t>
  </si>
  <si>
    <t>Chicken Wings</t>
  </si>
  <si>
    <t>Smokey BBQ Wings</t>
  </si>
  <si>
    <t>Tangy Buffalo Wings</t>
  </si>
  <si>
    <t>Hot Honey Wings</t>
  </si>
  <si>
    <t>Sesame &amp; Sweet Wings</t>
  </si>
  <si>
    <t>Chili Hoisin Wings</t>
  </si>
  <si>
    <t>Garlic Parmesan Wings</t>
  </si>
  <si>
    <t>Honey Mustard Wings</t>
  </si>
  <si>
    <t>Dynamite Wings</t>
  </si>
  <si>
    <t>Chicken Tenders</t>
  </si>
  <si>
    <t>Smokey BBQ Tenders</t>
  </si>
  <si>
    <t>Tangy Buffalo Tenders</t>
  </si>
  <si>
    <t>Hot Honey Tenders</t>
  </si>
  <si>
    <t>Sesame &amp; Sweet Tenders</t>
  </si>
  <si>
    <t>Chili Hoisin Tenders</t>
  </si>
  <si>
    <t>Garlic Parmesan Tenders</t>
  </si>
  <si>
    <t>Honey Mustard Tenders</t>
  </si>
  <si>
    <t>Dynamite Tenders</t>
  </si>
  <si>
    <t>Chicken Wraps</t>
  </si>
  <si>
    <t>Chicken Caesar Wrap</t>
  </si>
  <si>
    <t>BBQ Chicken Wrap</t>
  </si>
  <si>
    <t>Buffalo Chicken Wrap</t>
  </si>
  <si>
    <t>Hot Honey Chicken Wrap</t>
  </si>
  <si>
    <t>Asian Chicken Wrap</t>
  </si>
  <si>
    <t>Sides &amp; Dips</t>
  </si>
  <si>
    <t>Fries</t>
  </si>
  <si>
    <t>Spicy Fries</t>
  </si>
  <si>
    <t>Dynamite Fries</t>
  </si>
  <si>
    <t>Cheesy Fries</t>
  </si>
  <si>
    <t>Tex Mex Fries</t>
  </si>
  <si>
    <t>Onion Rings</t>
  </si>
  <si>
    <t>Curly Fries</t>
  </si>
  <si>
    <t>Mozzarella Sticks</t>
  </si>
  <si>
    <t>Dynamite Shrimp</t>
  </si>
  <si>
    <t>Nachos</t>
  </si>
  <si>
    <t>Loaded Nachos</t>
  </si>
  <si>
    <t>House Slaw</t>
  </si>
  <si>
    <t>Garlic Aioli Dip</t>
  </si>
  <si>
    <t>Sriracha Mayo Dip</t>
  </si>
  <si>
    <t>Honey BBQ Dip</t>
  </si>
  <si>
    <t>Dynamite Sauce Dip</t>
  </si>
  <si>
    <t>Truffle Mayo Dip</t>
  </si>
  <si>
    <t>Honey Mustard Dip</t>
  </si>
  <si>
    <t>Mexican Ranch Dip</t>
  </si>
  <si>
    <t>Cheese Dip</t>
  </si>
  <si>
    <t>Avocado Ranch Dip</t>
  </si>
  <si>
    <t>Meal &amp; Combo Assemblies</t>
  </si>
  <si>
    <t>Wings Meal for 1</t>
  </si>
  <si>
    <t>Wings Meal for 2</t>
  </si>
  <si>
    <t>Wings Meal for 4</t>
  </si>
  <si>
    <t>Beef Sliders Meal for 1</t>
  </si>
  <si>
    <t>Beef Sliders Meal for 2</t>
  </si>
  <si>
    <t>Beef Sliders Meal for 4</t>
  </si>
  <si>
    <t>Chicken Sliders Meal for 1</t>
  </si>
  <si>
    <t>Chicken Sliders Meal for 2</t>
  </si>
  <si>
    <t>Chicken Sliders Meal for 4</t>
  </si>
  <si>
    <t>Chicken Burger Combo Meal for 1</t>
  </si>
  <si>
    <t>Chicken Burger Combo Meal for 2</t>
  </si>
  <si>
    <t>Chicken Burger Combo Meal for 4</t>
  </si>
  <si>
    <t>Beef Burger Combo Meal for 1</t>
  </si>
  <si>
    <t>Beef Burger Combo Meal for 2</t>
  </si>
  <si>
    <t>Beef Burger Combo Meal for 4</t>
  </si>
  <si>
    <t>Beverages</t>
  </si>
  <si>
    <t>Mineral Water</t>
  </si>
  <si>
    <t>Coca Cola</t>
  </si>
  <si>
    <t>Coca Cola Zero</t>
  </si>
  <si>
    <t>Sprite</t>
  </si>
  <si>
    <t>Sprite Zero</t>
  </si>
  <si>
    <t>Fanta</t>
  </si>
  <si>
    <t>Meal for 1</t>
  </si>
  <si>
    <t>Crunchy BBQ Burger</t>
  </si>
  <si>
    <t>Crunchy BBQ Sliders</t>
  </si>
  <si>
    <t>Veggie Sliders</t>
  </si>
  <si>
    <t>Veggie Sticks</t>
  </si>
  <si>
    <t>Honey Chilli Potatoes</t>
  </si>
  <si>
    <t>Honey Chilli Shrimp</t>
  </si>
  <si>
    <t>40%/30/30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</si>
</sst>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F5496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9" fontId="0" fillId="0" borderId="0" xfId="1" applyFont="1"/>
    <xf numFmtId="16" fontId="0" fillId="0" borderId="0" xfId="0" applyNumberFormat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41"/>
  <sheetViews>
    <sheetView tabSelected="1" topLeftCell="C1" workbookViewId="0">
      <pane ySplit="2" topLeftCell="A3" activePane="bottomLeft" state="frozen"/>
      <selection pane="bottomLeft" activeCell="X2" sqref="X2"/>
    </sheetView>
  </sheetViews>
  <sheetFormatPr defaultRowHeight="14.5" x14ac:dyDescent="0.35"/>
  <cols>
    <col min="1" max="1" width="10.453125" bestFit="1" customWidth="1"/>
    <col min="2" max="2" width="23.26953125" bestFit="1" customWidth="1"/>
    <col min="3" max="3" width="33.08984375" bestFit="1" customWidth="1"/>
    <col min="4" max="5" width="10.81640625" bestFit="1" customWidth="1"/>
    <col min="7" max="7" width="11.54296875" bestFit="1" customWidth="1"/>
    <col min="8" max="8" width="13.1796875" bestFit="1" customWidth="1"/>
    <col min="9" max="9" width="8.7265625" customWidth="1"/>
    <col min="10" max="10" width="10.1796875" customWidth="1"/>
    <col min="11" max="11" width="8.7265625" customWidth="1"/>
    <col min="12" max="12" width="10.26953125" bestFit="1" customWidth="1"/>
    <col min="13" max="13" width="6.7265625" bestFit="1" customWidth="1"/>
    <col min="14" max="14" width="8.1796875" bestFit="1" customWidth="1"/>
    <col min="16" max="18" width="6.453125" bestFit="1" customWidth="1"/>
  </cols>
  <sheetData>
    <row r="1" spans="1:23" x14ac:dyDescent="0.35">
      <c r="U1" t="s">
        <v>154</v>
      </c>
    </row>
    <row r="2" spans="1:23" ht="28" x14ac:dyDescent="0.3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/>
      <c r="G2" s="1" t="s">
        <v>5</v>
      </c>
      <c r="H2" s="1" t="s">
        <v>6</v>
      </c>
      <c r="I2" s="1"/>
      <c r="J2" s="1" t="s">
        <v>7</v>
      </c>
      <c r="K2" s="1"/>
      <c r="L2" s="1" t="s">
        <v>8</v>
      </c>
      <c r="M2" s="1" t="s">
        <v>5</v>
      </c>
      <c r="N2" s="1" t="s">
        <v>6</v>
      </c>
      <c r="P2" s="3">
        <v>46118</v>
      </c>
      <c r="Q2" s="3">
        <f>P2+7</f>
        <v>46125</v>
      </c>
      <c r="R2" s="3">
        <f>Q2+7</f>
        <v>46132</v>
      </c>
      <c r="U2" s="1" t="s">
        <v>8</v>
      </c>
      <c r="V2" s="1" t="s">
        <v>5</v>
      </c>
      <c r="W2" s="1" t="s">
        <v>6</v>
      </c>
    </row>
    <row r="3" spans="1:23" x14ac:dyDescent="0.35">
      <c r="A3">
        <v>1</v>
      </c>
      <c r="B3" t="s">
        <v>9</v>
      </c>
      <c r="C3" t="s">
        <v>10</v>
      </c>
      <c r="D3">
        <v>11.84</v>
      </c>
      <c r="E3">
        <v>69</v>
      </c>
      <c r="G3">
        <f t="shared" ref="G3:G34" si="0">IFERROR(((E3-MIN(E3/2,30)-4)*0.7)-$D3,0)</f>
        <v>12.66</v>
      </c>
      <c r="H3" s="2">
        <f t="shared" ref="H3:H34" si="1">IFERROR(G3/E3,0)</f>
        <v>0.18347826086956523</v>
      </c>
      <c r="J3">
        <f t="shared" ref="J3:J34" si="2">ROUND(IF(D3&lt;=3.2,28+10*(D3),(23.8+D3)/0.45),0)</f>
        <v>79</v>
      </c>
      <c r="L3">
        <f t="shared" ref="L3" si="3">MAX(J3,E3)</f>
        <v>79</v>
      </c>
      <c r="M3">
        <f t="shared" ref="M3" si="4">((L3-(MIN(L3/2,30))-4)*0.7)-D3</f>
        <v>19.659999999999997</v>
      </c>
      <c r="N3" s="2">
        <f t="shared" ref="N3" si="5">M3/L3</f>
        <v>0.24886075949367084</v>
      </c>
      <c r="P3">
        <f t="shared" ref="P3" si="6">IF(L3&gt;E3,IF(E3+3&lt;=L3,E3+3,L3),E3)</f>
        <v>72</v>
      </c>
      <c r="Q3">
        <f t="shared" ref="Q3" si="7">IF(P3&lt;$L3,IF(P3+3&lt;=L3,P3+3,L3),P3)</f>
        <v>75</v>
      </c>
      <c r="R3">
        <f>IF(Q3&lt;$L3,IF(Q3+3&gt;L3,L3,Q3+3),L3)</f>
        <v>78</v>
      </c>
      <c r="S3" t="b">
        <f>R3&gt;L3</f>
        <v>0</v>
      </c>
      <c r="U3">
        <f>ROUND(IF(D3&lt;=9.95,16.47+5.88*(D3),52.89+(2.22*D3)),0)</f>
        <v>79</v>
      </c>
      <c r="V3">
        <f>((U3-MIN(U3*0.4,30)-4)*0.7)-D3</f>
        <v>19.659999999999997</v>
      </c>
      <c r="W3" s="2">
        <f>V3/U3</f>
        <v>0.24886075949367084</v>
      </c>
    </row>
    <row r="4" spans="1:23" x14ac:dyDescent="0.35">
      <c r="A4">
        <v>2</v>
      </c>
      <c r="B4" t="s">
        <v>9</v>
      </c>
      <c r="C4" t="s">
        <v>11</v>
      </c>
      <c r="D4">
        <v>14.38</v>
      </c>
      <c r="E4">
        <v>72</v>
      </c>
      <c r="G4">
        <f t="shared" si="0"/>
        <v>12.219999999999997</v>
      </c>
      <c r="H4" s="2">
        <f t="shared" si="1"/>
        <v>0.16972222222222219</v>
      </c>
      <c r="J4">
        <f t="shared" si="2"/>
        <v>85</v>
      </c>
      <c r="L4">
        <f t="shared" ref="L4:L67" si="8">MAX(J4,E4)</f>
        <v>85</v>
      </c>
      <c r="M4">
        <f t="shared" ref="M4:M67" si="9">((L4-(MIN(L4/2,30))-4)*0.7)-D4</f>
        <v>21.319999999999993</v>
      </c>
      <c r="N4" s="2">
        <f t="shared" ref="N4:N67" si="10">M4/L4</f>
        <v>0.25082352941176461</v>
      </c>
      <c r="P4">
        <f t="shared" ref="P4:P67" si="11">IF(L4&gt;E4,IF(E4+3&lt;=L4,E4+3,L4),E4)</f>
        <v>75</v>
      </c>
      <c r="Q4">
        <f t="shared" ref="Q4:Q67" si="12">IF(P4&lt;$L4,IF(P4+3&lt;=L4,P4+3,L4),P4)</f>
        <v>78</v>
      </c>
      <c r="R4">
        <f t="shared" ref="R4:R67" si="13">IF(Q4&lt;$L4,IF(Q4+3&gt;L4,L4,Q4+3),L4)</f>
        <v>81</v>
      </c>
      <c r="S4" t="b">
        <f t="shared" ref="S4:S67" si="14">R4&gt;L4</f>
        <v>0</v>
      </c>
      <c r="U4">
        <f t="shared" ref="U4:U67" si="15">ROUND(IF(D4&lt;=9.95,16.47+5.88*(D4),52.89+(2.22*D4)),0)</f>
        <v>85</v>
      </c>
      <c r="V4">
        <f t="shared" ref="V4:V67" si="16">((U4-MIN(U4*0.4,30)-4)*0.7)-D4</f>
        <v>21.319999999999993</v>
      </c>
      <c r="W4" s="2">
        <f t="shared" ref="W4:W67" si="17">V4/U4</f>
        <v>0.25082352941176461</v>
      </c>
    </row>
    <row r="5" spans="1:23" x14ac:dyDescent="0.35">
      <c r="A5">
        <v>3</v>
      </c>
      <c r="B5" t="s">
        <v>9</v>
      </c>
      <c r="C5" t="s">
        <v>12</v>
      </c>
      <c r="D5">
        <v>12.2</v>
      </c>
      <c r="E5">
        <v>71</v>
      </c>
      <c r="G5">
        <f t="shared" si="0"/>
        <v>13.7</v>
      </c>
      <c r="H5" s="2">
        <f t="shared" si="1"/>
        <v>0.19295774647887323</v>
      </c>
      <c r="J5">
        <f t="shared" si="2"/>
        <v>80</v>
      </c>
      <c r="L5">
        <f t="shared" si="8"/>
        <v>80</v>
      </c>
      <c r="M5">
        <f t="shared" si="9"/>
        <v>19.999999999999996</v>
      </c>
      <c r="N5" s="2">
        <f t="shared" si="10"/>
        <v>0.24999999999999994</v>
      </c>
      <c r="P5">
        <f t="shared" si="11"/>
        <v>74</v>
      </c>
      <c r="Q5">
        <f t="shared" si="12"/>
        <v>77</v>
      </c>
      <c r="R5">
        <f t="shared" si="13"/>
        <v>80</v>
      </c>
      <c r="S5" t="b">
        <f t="shared" si="14"/>
        <v>0</v>
      </c>
      <c r="U5">
        <f t="shared" si="15"/>
        <v>80</v>
      </c>
      <c r="V5">
        <f t="shared" si="16"/>
        <v>19.999999999999996</v>
      </c>
      <c r="W5" s="2">
        <f t="shared" si="17"/>
        <v>0.24999999999999994</v>
      </c>
    </row>
    <row r="6" spans="1:23" x14ac:dyDescent="0.35">
      <c r="A6">
        <v>4</v>
      </c>
      <c r="B6" t="s">
        <v>9</v>
      </c>
      <c r="C6" t="s">
        <v>13</v>
      </c>
      <c r="D6">
        <v>10.91</v>
      </c>
      <c r="E6">
        <v>71</v>
      </c>
      <c r="G6">
        <f t="shared" si="0"/>
        <v>14.989999999999998</v>
      </c>
      <c r="H6" s="2">
        <f t="shared" si="1"/>
        <v>0.21112676056338026</v>
      </c>
      <c r="J6">
        <f t="shared" si="2"/>
        <v>77</v>
      </c>
      <c r="L6">
        <f t="shared" si="8"/>
        <v>77</v>
      </c>
      <c r="M6">
        <f t="shared" si="9"/>
        <v>19.189999999999998</v>
      </c>
      <c r="N6" s="2">
        <f t="shared" si="10"/>
        <v>0.2492207792207792</v>
      </c>
      <c r="P6">
        <f t="shared" si="11"/>
        <v>74</v>
      </c>
      <c r="Q6">
        <f t="shared" si="12"/>
        <v>77</v>
      </c>
      <c r="R6">
        <f t="shared" si="13"/>
        <v>77</v>
      </c>
      <c r="S6" t="b">
        <f t="shared" si="14"/>
        <v>0</v>
      </c>
      <c r="U6">
        <f t="shared" si="15"/>
        <v>77</v>
      </c>
      <c r="V6">
        <f t="shared" si="16"/>
        <v>19.189999999999998</v>
      </c>
      <c r="W6" s="2">
        <f t="shared" si="17"/>
        <v>0.2492207792207792</v>
      </c>
    </row>
    <row r="7" spans="1:23" x14ac:dyDescent="0.35">
      <c r="A7">
        <v>5</v>
      </c>
      <c r="B7" t="s">
        <v>9</v>
      </c>
      <c r="C7" t="s">
        <v>14</v>
      </c>
      <c r="D7">
        <v>11.99</v>
      </c>
      <c r="E7">
        <v>71</v>
      </c>
      <c r="G7">
        <f t="shared" si="0"/>
        <v>13.909999999999998</v>
      </c>
      <c r="H7" s="2">
        <f t="shared" si="1"/>
        <v>0.19591549295774646</v>
      </c>
      <c r="J7">
        <f t="shared" si="2"/>
        <v>80</v>
      </c>
      <c r="L7">
        <f t="shared" si="8"/>
        <v>80</v>
      </c>
      <c r="M7">
        <f t="shared" si="9"/>
        <v>20.209999999999994</v>
      </c>
      <c r="N7" s="2">
        <f t="shared" si="10"/>
        <v>0.25262499999999993</v>
      </c>
      <c r="P7">
        <f t="shared" si="11"/>
        <v>74</v>
      </c>
      <c r="Q7">
        <f t="shared" si="12"/>
        <v>77</v>
      </c>
      <c r="R7">
        <f t="shared" si="13"/>
        <v>80</v>
      </c>
      <c r="S7" t="b">
        <f t="shared" si="14"/>
        <v>0</v>
      </c>
      <c r="U7">
        <f t="shared" si="15"/>
        <v>80</v>
      </c>
      <c r="V7">
        <f t="shared" si="16"/>
        <v>20.209999999999994</v>
      </c>
      <c r="W7" s="2">
        <f t="shared" si="17"/>
        <v>0.25262499999999993</v>
      </c>
    </row>
    <row r="8" spans="1:23" x14ac:dyDescent="0.35">
      <c r="A8">
        <v>6</v>
      </c>
      <c r="B8" t="s">
        <v>9</v>
      </c>
      <c r="C8" t="s">
        <v>15</v>
      </c>
      <c r="D8">
        <v>12.09</v>
      </c>
      <c r="E8">
        <v>73</v>
      </c>
      <c r="G8">
        <f t="shared" si="0"/>
        <v>15.209999999999997</v>
      </c>
      <c r="H8" s="2">
        <f t="shared" si="1"/>
        <v>0.20835616438356161</v>
      </c>
      <c r="J8">
        <f t="shared" si="2"/>
        <v>80</v>
      </c>
      <c r="L8">
        <f t="shared" si="8"/>
        <v>80</v>
      </c>
      <c r="M8">
        <f t="shared" si="9"/>
        <v>20.109999999999996</v>
      </c>
      <c r="N8" s="2">
        <f t="shared" si="10"/>
        <v>0.25137499999999996</v>
      </c>
      <c r="P8">
        <f t="shared" si="11"/>
        <v>76</v>
      </c>
      <c r="Q8">
        <f t="shared" si="12"/>
        <v>79</v>
      </c>
      <c r="R8">
        <f t="shared" si="13"/>
        <v>80</v>
      </c>
      <c r="S8" t="b">
        <f t="shared" si="14"/>
        <v>0</v>
      </c>
      <c r="U8">
        <f t="shared" si="15"/>
        <v>80</v>
      </c>
      <c r="V8">
        <f t="shared" si="16"/>
        <v>20.109999999999996</v>
      </c>
      <c r="W8" s="2">
        <f t="shared" si="17"/>
        <v>0.25137499999999996</v>
      </c>
    </row>
    <row r="9" spans="1:23" x14ac:dyDescent="0.35">
      <c r="A9">
        <v>7</v>
      </c>
      <c r="B9" t="s">
        <v>9</v>
      </c>
      <c r="C9" t="s">
        <v>16</v>
      </c>
      <c r="D9">
        <v>12.3</v>
      </c>
      <c r="E9">
        <v>68</v>
      </c>
      <c r="G9">
        <f t="shared" si="0"/>
        <v>11.499999999999996</v>
      </c>
      <c r="H9" s="2">
        <f t="shared" si="1"/>
        <v>0.16911764705882348</v>
      </c>
      <c r="J9">
        <f t="shared" si="2"/>
        <v>80</v>
      </c>
      <c r="L9">
        <f t="shared" si="8"/>
        <v>80</v>
      </c>
      <c r="M9">
        <f t="shared" si="9"/>
        <v>19.899999999999995</v>
      </c>
      <c r="N9" s="2">
        <f t="shared" si="10"/>
        <v>0.24874999999999994</v>
      </c>
      <c r="P9">
        <f t="shared" si="11"/>
        <v>71</v>
      </c>
      <c r="Q9">
        <f t="shared" si="12"/>
        <v>74</v>
      </c>
      <c r="R9">
        <f t="shared" si="13"/>
        <v>77</v>
      </c>
      <c r="S9" t="b">
        <f t="shared" si="14"/>
        <v>0</v>
      </c>
      <c r="U9">
        <f t="shared" si="15"/>
        <v>80</v>
      </c>
      <c r="V9">
        <f t="shared" si="16"/>
        <v>19.899999999999995</v>
      </c>
      <c r="W9" s="2">
        <f t="shared" si="17"/>
        <v>0.24874999999999994</v>
      </c>
    </row>
    <row r="10" spans="1:23" x14ac:dyDescent="0.35">
      <c r="A10">
        <v>8</v>
      </c>
      <c r="B10" t="s">
        <v>9</v>
      </c>
      <c r="C10" t="s">
        <v>17</v>
      </c>
      <c r="D10">
        <v>12.45</v>
      </c>
      <c r="E10">
        <v>75</v>
      </c>
      <c r="G10">
        <f t="shared" si="0"/>
        <v>16.25</v>
      </c>
      <c r="H10" s="2">
        <f t="shared" si="1"/>
        <v>0.21666666666666667</v>
      </c>
      <c r="J10">
        <f t="shared" si="2"/>
        <v>81</v>
      </c>
      <c r="L10">
        <f t="shared" si="8"/>
        <v>81</v>
      </c>
      <c r="M10">
        <f t="shared" si="9"/>
        <v>20.45</v>
      </c>
      <c r="N10" s="2">
        <f t="shared" si="10"/>
        <v>0.2524691358024691</v>
      </c>
      <c r="P10">
        <f t="shared" si="11"/>
        <v>78</v>
      </c>
      <c r="Q10">
        <f t="shared" si="12"/>
        <v>81</v>
      </c>
      <c r="R10">
        <f t="shared" si="13"/>
        <v>81</v>
      </c>
      <c r="S10" t="b">
        <f t="shared" si="14"/>
        <v>0</v>
      </c>
      <c r="U10">
        <f t="shared" si="15"/>
        <v>81</v>
      </c>
      <c r="V10">
        <f t="shared" si="16"/>
        <v>20.45</v>
      </c>
      <c r="W10" s="2">
        <f t="shared" si="17"/>
        <v>0.2524691358024691</v>
      </c>
    </row>
    <row r="11" spans="1:23" x14ac:dyDescent="0.35">
      <c r="A11">
        <v>9</v>
      </c>
      <c r="B11" t="s">
        <v>9</v>
      </c>
      <c r="C11" t="s">
        <v>18</v>
      </c>
      <c r="D11">
        <v>12.49</v>
      </c>
      <c r="E11">
        <v>72</v>
      </c>
      <c r="G11">
        <f t="shared" si="0"/>
        <v>14.109999999999998</v>
      </c>
      <c r="H11" s="2">
        <f t="shared" si="1"/>
        <v>0.19597222222222219</v>
      </c>
      <c r="J11">
        <f t="shared" si="2"/>
        <v>81</v>
      </c>
      <c r="L11">
        <f t="shared" si="8"/>
        <v>81</v>
      </c>
      <c r="M11">
        <f t="shared" si="9"/>
        <v>20.409999999999997</v>
      </c>
      <c r="N11" s="2">
        <f t="shared" si="10"/>
        <v>0.25197530864197526</v>
      </c>
      <c r="P11">
        <f t="shared" si="11"/>
        <v>75</v>
      </c>
      <c r="Q11">
        <f t="shared" si="12"/>
        <v>78</v>
      </c>
      <c r="R11">
        <f t="shared" si="13"/>
        <v>81</v>
      </c>
      <c r="S11" t="b">
        <f t="shared" si="14"/>
        <v>0</v>
      </c>
      <c r="U11">
        <f t="shared" si="15"/>
        <v>81</v>
      </c>
      <c r="V11">
        <f t="shared" si="16"/>
        <v>20.409999999999997</v>
      </c>
      <c r="W11" s="2">
        <f t="shared" si="17"/>
        <v>0.25197530864197526</v>
      </c>
    </row>
    <row r="12" spans="1:23" x14ac:dyDescent="0.35">
      <c r="A12">
        <v>10</v>
      </c>
      <c r="B12" t="s">
        <v>9</v>
      </c>
      <c r="C12" t="s">
        <v>19</v>
      </c>
      <c r="D12">
        <v>18.7</v>
      </c>
      <c r="E12">
        <v>85</v>
      </c>
      <c r="G12">
        <f t="shared" si="0"/>
        <v>16.999999999999996</v>
      </c>
      <c r="H12" s="2">
        <f t="shared" si="1"/>
        <v>0.19999999999999996</v>
      </c>
      <c r="J12">
        <f t="shared" si="2"/>
        <v>94</v>
      </c>
      <c r="L12">
        <f t="shared" si="8"/>
        <v>94</v>
      </c>
      <c r="M12">
        <f t="shared" si="9"/>
        <v>23.3</v>
      </c>
      <c r="N12" s="2">
        <f t="shared" si="10"/>
        <v>0.24787234042553191</v>
      </c>
      <c r="P12">
        <f t="shared" si="11"/>
        <v>88</v>
      </c>
      <c r="Q12">
        <f t="shared" si="12"/>
        <v>91</v>
      </c>
      <c r="R12">
        <f t="shared" si="13"/>
        <v>94</v>
      </c>
      <c r="S12" t="b">
        <f t="shared" si="14"/>
        <v>0</v>
      </c>
      <c r="U12">
        <f t="shared" si="15"/>
        <v>94</v>
      </c>
      <c r="V12">
        <f t="shared" si="16"/>
        <v>23.3</v>
      </c>
      <c r="W12" s="2">
        <f t="shared" si="17"/>
        <v>0.24787234042553191</v>
      </c>
    </row>
    <row r="13" spans="1:23" x14ac:dyDescent="0.35">
      <c r="A13">
        <v>11</v>
      </c>
      <c r="B13" t="s">
        <v>9</v>
      </c>
      <c r="C13" t="s">
        <v>20</v>
      </c>
      <c r="D13">
        <v>14.43</v>
      </c>
      <c r="E13">
        <v>72</v>
      </c>
      <c r="G13">
        <f t="shared" si="0"/>
        <v>12.169999999999998</v>
      </c>
      <c r="H13" s="2">
        <f t="shared" si="1"/>
        <v>0.16902777777777775</v>
      </c>
      <c r="J13">
        <f t="shared" si="2"/>
        <v>85</v>
      </c>
      <c r="L13">
        <f t="shared" si="8"/>
        <v>85</v>
      </c>
      <c r="M13">
        <f t="shared" si="9"/>
        <v>21.269999999999996</v>
      </c>
      <c r="N13" s="2">
        <f t="shared" si="10"/>
        <v>0.250235294117647</v>
      </c>
      <c r="P13">
        <f t="shared" si="11"/>
        <v>75</v>
      </c>
      <c r="Q13">
        <f t="shared" si="12"/>
        <v>78</v>
      </c>
      <c r="R13">
        <f t="shared" si="13"/>
        <v>81</v>
      </c>
      <c r="S13" t="b">
        <f t="shared" si="14"/>
        <v>0</v>
      </c>
      <c r="U13">
        <f t="shared" si="15"/>
        <v>85</v>
      </c>
      <c r="V13">
        <f t="shared" si="16"/>
        <v>21.269999999999996</v>
      </c>
      <c r="W13" s="2">
        <f t="shared" si="17"/>
        <v>0.250235294117647</v>
      </c>
    </row>
    <row r="14" spans="1:23" x14ac:dyDescent="0.35">
      <c r="A14">
        <v>12</v>
      </c>
      <c r="B14" t="s">
        <v>9</v>
      </c>
      <c r="C14" t="s">
        <v>21</v>
      </c>
      <c r="D14">
        <v>14.38</v>
      </c>
      <c r="E14">
        <v>71</v>
      </c>
      <c r="G14">
        <f t="shared" si="0"/>
        <v>11.519999999999998</v>
      </c>
      <c r="H14" s="2">
        <f t="shared" si="1"/>
        <v>0.16225352112676053</v>
      </c>
      <c r="J14">
        <f t="shared" si="2"/>
        <v>85</v>
      </c>
      <c r="L14">
        <f t="shared" si="8"/>
        <v>85</v>
      </c>
      <c r="M14">
        <f t="shared" si="9"/>
        <v>21.319999999999993</v>
      </c>
      <c r="N14" s="2">
        <f t="shared" si="10"/>
        <v>0.25082352941176461</v>
      </c>
      <c r="P14">
        <f t="shared" si="11"/>
        <v>74</v>
      </c>
      <c r="Q14">
        <f t="shared" si="12"/>
        <v>77</v>
      </c>
      <c r="R14">
        <f t="shared" si="13"/>
        <v>80</v>
      </c>
      <c r="S14" t="b">
        <f t="shared" si="14"/>
        <v>0</v>
      </c>
      <c r="U14">
        <f t="shared" si="15"/>
        <v>85</v>
      </c>
      <c r="V14">
        <f t="shared" si="16"/>
        <v>21.319999999999993</v>
      </c>
      <c r="W14" s="2">
        <f t="shared" si="17"/>
        <v>0.25082352941176461</v>
      </c>
    </row>
    <row r="15" spans="1:23" x14ac:dyDescent="0.35">
      <c r="A15">
        <v>13</v>
      </c>
      <c r="B15" t="s">
        <v>9</v>
      </c>
      <c r="C15" t="s">
        <v>22</v>
      </c>
      <c r="D15">
        <v>12.32</v>
      </c>
      <c r="E15">
        <v>71</v>
      </c>
      <c r="G15">
        <f t="shared" si="0"/>
        <v>13.579999999999998</v>
      </c>
      <c r="H15" s="2">
        <f t="shared" si="1"/>
        <v>0.1912676056338028</v>
      </c>
      <c r="J15">
        <f t="shared" si="2"/>
        <v>80</v>
      </c>
      <c r="L15">
        <f t="shared" si="8"/>
        <v>80</v>
      </c>
      <c r="M15">
        <f t="shared" si="9"/>
        <v>19.879999999999995</v>
      </c>
      <c r="N15" s="2">
        <f t="shared" si="10"/>
        <v>0.24849999999999994</v>
      </c>
      <c r="P15">
        <f t="shared" si="11"/>
        <v>74</v>
      </c>
      <c r="Q15">
        <f t="shared" si="12"/>
        <v>77</v>
      </c>
      <c r="R15">
        <f t="shared" si="13"/>
        <v>80</v>
      </c>
      <c r="S15" t="b">
        <f t="shared" si="14"/>
        <v>0</v>
      </c>
      <c r="U15">
        <f t="shared" si="15"/>
        <v>80</v>
      </c>
      <c r="V15">
        <f t="shared" si="16"/>
        <v>19.879999999999995</v>
      </c>
      <c r="W15" s="2">
        <f t="shared" si="17"/>
        <v>0.24849999999999994</v>
      </c>
    </row>
    <row r="16" spans="1:23" x14ac:dyDescent="0.35">
      <c r="A16">
        <v>14</v>
      </c>
      <c r="B16" t="s">
        <v>23</v>
      </c>
      <c r="C16" t="s">
        <v>24</v>
      </c>
      <c r="D16">
        <v>7.21</v>
      </c>
      <c r="E16">
        <v>54</v>
      </c>
      <c r="G16">
        <f t="shared" si="0"/>
        <v>8.889999999999997</v>
      </c>
      <c r="H16" s="2">
        <f t="shared" si="1"/>
        <v>0.16462962962962957</v>
      </c>
      <c r="J16">
        <f t="shared" si="2"/>
        <v>69</v>
      </c>
      <c r="L16">
        <f t="shared" si="8"/>
        <v>69</v>
      </c>
      <c r="M16">
        <f t="shared" si="9"/>
        <v>17.29</v>
      </c>
      <c r="N16" s="2">
        <f t="shared" si="10"/>
        <v>0.25057971014492753</v>
      </c>
      <c r="P16">
        <f t="shared" si="11"/>
        <v>57</v>
      </c>
      <c r="Q16">
        <f t="shared" si="12"/>
        <v>60</v>
      </c>
      <c r="R16">
        <f t="shared" si="13"/>
        <v>63</v>
      </c>
      <c r="S16" t="b">
        <f t="shared" si="14"/>
        <v>0</v>
      </c>
      <c r="U16">
        <f t="shared" si="15"/>
        <v>59</v>
      </c>
      <c r="V16">
        <f t="shared" si="16"/>
        <v>14.769999999999996</v>
      </c>
      <c r="W16" s="2">
        <f t="shared" si="17"/>
        <v>0.2503389830508474</v>
      </c>
    </row>
    <row r="17" spans="1:23" x14ac:dyDescent="0.35">
      <c r="A17">
        <v>15</v>
      </c>
      <c r="B17" t="s">
        <v>23</v>
      </c>
      <c r="C17" t="s">
        <v>25</v>
      </c>
      <c r="D17">
        <v>5.59</v>
      </c>
      <c r="E17">
        <v>56</v>
      </c>
      <c r="G17">
        <f t="shared" si="0"/>
        <v>11.209999999999997</v>
      </c>
      <c r="H17" s="2">
        <f t="shared" si="1"/>
        <v>0.20017857142857137</v>
      </c>
      <c r="J17">
        <f t="shared" si="2"/>
        <v>65</v>
      </c>
      <c r="L17">
        <f t="shared" si="8"/>
        <v>65</v>
      </c>
      <c r="M17">
        <f t="shared" si="9"/>
        <v>16.11</v>
      </c>
      <c r="N17" s="2">
        <f t="shared" si="10"/>
        <v>0.24784615384615383</v>
      </c>
      <c r="P17">
        <f t="shared" si="11"/>
        <v>59</v>
      </c>
      <c r="Q17">
        <f t="shared" si="12"/>
        <v>62</v>
      </c>
      <c r="R17">
        <f t="shared" si="13"/>
        <v>65</v>
      </c>
      <c r="S17" t="b">
        <f t="shared" si="14"/>
        <v>0</v>
      </c>
      <c r="U17">
        <f t="shared" si="15"/>
        <v>49</v>
      </c>
      <c r="V17">
        <f t="shared" si="16"/>
        <v>12.189999999999998</v>
      </c>
      <c r="W17" s="2">
        <f t="shared" si="17"/>
        <v>0.24877551020408159</v>
      </c>
    </row>
    <row r="18" spans="1:23" x14ac:dyDescent="0.35">
      <c r="A18">
        <v>16</v>
      </c>
      <c r="B18" t="s">
        <v>23</v>
      </c>
      <c r="C18" t="s">
        <v>26</v>
      </c>
      <c r="D18">
        <v>5.92</v>
      </c>
      <c r="E18">
        <v>56</v>
      </c>
      <c r="G18">
        <f t="shared" si="0"/>
        <v>10.879999999999997</v>
      </c>
      <c r="H18" s="2">
        <f t="shared" si="1"/>
        <v>0.19428571428571423</v>
      </c>
      <c r="J18">
        <f t="shared" si="2"/>
        <v>66</v>
      </c>
      <c r="L18">
        <f t="shared" si="8"/>
        <v>66</v>
      </c>
      <c r="M18">
        <f t="shared" si="9"/>
        <v>16.479999999999997</v>
      </c>
      <c r="N18" s="2">
        <f t="shared" si="10"/>
        <v>0.24969696969696964</v>
      </c>
      <c r="P18">
        <f t="shared" si="11"/>
        <v>59</v>
      </c>
      <c r="Q18">
        <f t="shared" si="12"/>
        <v>62</v>
      </c>
      <c r="R18">
        <f t="shared" si="13"/>
        <v>65</v>
      </c>
      <c r="S18" t="b">
        <f t="shared" si="14"/>
        <v>0</v>
      </c>
      <c r="U18">
        <f t="shared" si="15"/>
        <v>51</v>
      </c>
      <c r="V18">
        <f t="shared" si="16"/>
        <v>12.699999999999998</v>
      </c>
      <c r="W18" s="2">
        <f t="shared" si="17"/>
        <v>0.2490196078431372</v>
      </c>
    </row>
    <row r="19" spans="1:23" x14ac:dyDescent="0.35">
      <c r="A19">
        <v>17</v>
      </c>
      <c r="B19" t="s">
        <v>23</v>
      </c>
      <c r="C19" t="s">
        <v>27</v>
      </c>
      <c r="D19">
        <v>5.49</v>
      </c>
      <c r="E19">
        <v>56</v>
      </c>
      <c r="G19">
        <f t="shared" si="0"/>
        <v>11.309999999999997</v>
      </c>
      <c r="H19" s="2">
        <f t="shared" si="1"/>
        <v>0.20196428571428565</v>
      </c>
      <c r="J19">
        <f t="shared" si="2"/>
        <v>65</v>
      </c>
      <c r="L19">
        <f t="shared" si="8"/>
        <v>65</v>
      </c>
      <c r="M19">
        <f t="shared" si="9"/>
        <v>16.21</v>
      </c>
      <c r="N19" s="2">
        <f t="shared" si="10"/>
        <v>0.2493846153846154</v>
      </c>
      <c r="P19">
        <f t="shared" si="11"/>
        <v>59</v>
      </c>
      <c r="Q19">
        <f t="shared" si="12"/>
        <v>62</v>
      </c>
      <c r="R19">
        <f t="shared" si="13"/>
        <v>65</v>
      </c>
      <c r="S19" t="b">
        <f t="shared" si="14"/>
        <v>0</v>
      </c>
      <c r="U19">
        <f t="shared" si="15"/>
        <v>49</v>
      </c>
      <c r="V19">
        <f t="shared" si="16"/>
        <v>12.289999999999997</v>
      </c>
      <c r="W19" s="2">
        <f t="shared" si="17"/>
        <v>0.2508163265306122</v>
      </c>
    </row>
    <row r="20" spans="1:23" x14ac:dyDescent="0.35">
      <c r="A20">
        <v>18</v>
      </c>
      <c r="B20" t="s">
        <v>23</v>
      </c>
      <c r="C20" t="s">
        <v>28</v>
      </c>
      <c r="D20">
        <v>5.28</v>
      </c>
      <c r="E20">
        <v>56</v>
      </c>
      <c r="G20">
        <f t="shared" si="0"/>
        <v>11.519999999999996</v>
      </c>
      <c r="H20" s="2">
        <f t="shared" si="1"/>
        <v>0.20571428571428566</v>
      </c>
      <c r="J20">
        <f t="shared" si="2"/>
        <v>65</v>
      </c>
      <c r="L20">
        <f t="shared" si="8"/>
        <v>65</v>
      </c>
      <c r="M20">
        <f t="shared" si="9"/>
        <v>16.419999999999998</v>
      </c>
      <c r="N20" s="2">
        <f t="shared" si="10"/>
        <v>0.25261538461538458</v>
      </c>
      <c r="P20">
        <f t="shared" si="11"/>
        <v>59</v>
      </c>
      <c r="Q20">
        <f t="shared" si="12"/>
        <v>62</v>
      </c>
      <c r="R20">
        <f t="shared" si="13"/>
        <v>65</v>
      </c>
      <c r="S20" t="b">
        <f t="shared" si="14"/>
        <v>0</v>
      </c>
      <c r="U20">
        <f t="shared" si="15"/>
        <v>48</v>
      </c>
      <c r="V20">
        <f t="shared" si="16"/>
        <v>12.079999999999995</v>
      </c>
      <c r="W20" s="2">
        <f t="shared" si="17"/>
        <v>0.25166666666666654</v>
      </c>
    </row>
    <row r="21" spans="1:23" x14ac:dyDescent="0.35">
      <c r="A21">
        <v>19</v>
      </c>
      <c r="B21" t="s">
        <v>23</v>
      </c>
      <c r="C21" t="s">
        <v>28</v>
      </c>
      <c r="D21">
        <v>5.38</v>
      </c>
      <c r="E21">
        <v>56</v>
      </c>
      <c r="G21">
        <f t="shared" si="0"/>
        <v>11.419999999999998</v>
      </c>
      <c r="H21" s="2">
        <f t="shared" si="1"/>
        <v>0.2039285714285714</v>
      </c>
      <c r="J21">
        <f t="shared" si="2"/>
        <v>65</v>
      </c>
      <c r="L21">
        <f t="shared" si="8"/>
        <v>65</v>
      </c>
      <c r="M21">
        <f t="shared" si="9"/>
        <v>16.32</v>
      </c>
      <c r="N21" s="2">
        <f t="shared" si="10"/>
        <v>0.25107692307692309</v>
      </c>
      <c r="P21">
        <f t="shared" si="11"/>
        <v>59</v>
      </c>
      <c r="Q21">
        <f t="shared" si="12"/>
        <v>62</v>
      </c>
      <c r="R21">
        <f t="shared" si="13"/>
        <v>65</v>
      </c>
      <c r="S21" t="b">
        <f t="shared" si="14"/>
        <v>0</v>
      </c>
      <c r="U21">
        <f t="shared" si="15"/>
        <v>48</v>
      </c>
      <c r="V21">
        <f t="shared" si="16"/>
        <v>11.979999999999997</v>
      </c>
      <c r="W21" s="2">
        <f t="shared" si="17"/>
        <v>0.24958333333333327</v>
      </c>
    </row>
    <row r="22" spans="1:23" x14ac:dyDescent="0.35">
      <c r="A22">
        <v>20</v>
      </c>
      <c r="B22" t="s">
        <v>23</v>
      </c>
      <c r="C22" t="s">
        <v>29</v>
      </c>
      <c r="D22">
        <v>5.71</v>
      </c>
      <c r="E22">
        <v>56</v>
      </c>
      <c r="G22">
        <f t="shared" si="0"/>
        <v>11.089999999999996</v>
      </c>
      <c r="H22" s="2">
        <f t="shared" si="1"/>
        <v>0.19803571428571423</v>
      </c>
      <c r="J22">
        <f t="shared" si="2"/>
        <v>66</v>
      </c>
      <c r="L22">
        <f t="shared" si="8"/>
        <v>66</v>
      </c>
      <c r="M22">
        <f t="shared" si="9"/>
        <v>16.689999999999998</v>
      </c>
      <c r="N22" s="2">
        <f t="shared" si="10"/>
        <v>0.25287878787878787</v>
      </c>
      <c r="P22">
        <f t="shared" si="11"/>
        <v>59</v>
      </c>
      <c r="Q22">
        <f t="shared" si="12"/>
        <v>62</v>
      </c>
      <c r="R22">
        <f t="shared" si="13"/>
        <v>65</v>
      </c>
      <c r="S22" t="b">
        <f t="shared" si="14"/>
        <v>0</v>
      </c>
      <c r="U22">
        <f t="shared" si="15"/>
        <v>50</v>
      </c>
      <c r="V22">
        <f t="shared" si="16"/>
        <v>12.489999999999998</v>
      </c>
      <c r="W22" s="2">
        <f t="shared" si="17"/>
        <v>0.24979999999999997</v>
      </c>
    </row>
    <row r="23" spans="1:23" x14ac:dyDescent="0.35">
      <c r="A23">
        <v>21</v>
      </c>
      <c r="B23" t="s">
        <v>23</v>
      </c>
      <c r="C23" t="s">
        <v>30</v>
      </c>
      <c r="D23">
        <v>5.67</v>
      </c>
      <c r="E23">
        <v>56</v>
      </c>
      <c r="G23">
        <f t="shared" si="0"/>
        <v>11.129999999999997</v>
      </c>
      <c r="H23" s="2">
        <f t="shared" si="1"/>
        <v>0.19874999999999995</v>
      </c>
      <c r="J23">
        <f t="shared" si="2"/>
        <v>65</v>
      </c>
      <c r="L23">
        <f t="shared" si="8"/>
        <v>65</v>
      </c>
      <c r="M23">
        <f t="shared" si="9"/>
        <v>16.03</v>
      </c>
      <c r="N23" s="2">
        <f t="shared" si="10"/>
        <v>0.24661538461538463</v>
      </c>
      <c r="P23">
        <f t="shared" si="11"/>
        <v>59</v>
      </c>
      <c r="Q23">
        <f t="shared" si="12"/>
        <v>62</v>
      </c>
      <c r="R23">
        <f t="shared" si="13"/>
        <v>65</v>
      </c>
      <c r="S23" t="b">
        <f t="shared" si="14"/>
        <v>0</v>
      </c>
      <c r="U23">
        <f t="shared" si="15"/>
        <v>50</v>
      </c>
      <c r="V23">
        <f t="shared" si="16"/>
        <v>12.53</v>
      </c>
      <c r="W23" s="2">
        <f t="shared" si="17"/>
        <v>0.25059999999999999</v>
      </c>
    </row>
    <row r="24" spans="1:23" x14ac:dyDescent="0.35">
      <c r="A24">
        <v>22</v>
      </c>
      <c r="B24" t="s">
        <v>23</v>
      </c>
      <c r="C24" t="s">
        <v>31</v>
      </c>
      <c r="D24">
        <v>6.18</v>
      </c>
      <c r="E24">
        <v>58</v>
      </c>
      <c r="G24">
        <f t="shared" si="0"/>
        <v>11.32</v>
      </c>
      <c r="H24" s="2">
        <f t="shared" si="1"/>
        <v>0.19517241379310346</v>
      </c>
      <c r="J24">
        <f t="shared" si="2"/>
        <v>67</v>
      </c>
      <c r="L24">
        <f t="shared" si="8"/>
        <v>67</v>
      </c>
      <c r="M24">
        <f t="shared" si="9"/>
        <v>16.919999999999998</v>
      </c>
      <c r="N24" s="2">
        <f t="shared" si="10"/>
        <v>0.25253731343283581</v>
      </c>
      <c r="P24">
        <f t="shared" si="11"/>
        <v>61</v>
      </c>
      <c r="Q24">
        <f t="shared" si="12"/>
        <v>64</v>
      </c>
      <c r="R24">
        <f t="shared" si="13"/>
        <v>67</v>
      </c>
      <c r="S24" t="b">
        <f t="shared" si="14"/>
        <v>0</v>
      </c>
      <c r="U24">
        <f t="shared" si="15"/>
        <v>53</v>
      </c>
      <c r="V24">
        <f t="shared" si="16"/>
        <v>13.279999999999998</v>
      </c>
      <c r="W24" s="2">
        <f t="shared" si="17"/>
        <v>0.25056603773584901</v>
      </c>
    </row>
    <row r="25" spans="1:23" x14ac:dyDescent="0.35">
      <c r="A25">
        <v>23</v>
      </c>
      <c r="B25" t="s">
        <v>23</v>
      </c>
      <c r="C25" t="s">
        <v>32</v>
      </c>
      <c r="D25">
        <v>5.73</v>
      </c>
      <c r="E25">
        <v>58</v>
      </c>
      <c r="G25">
        <f t="shared" si="0"/>
        <v>11.77</v>
      </c>
      <c r="H25" s="2">
        <f t="shared" si="1"/>
        <v>0.20293103448275862</v>
      </c>
      <c r="J25">
        <f t="shared" si="2"/>
        <v>66</v>
      </c>
      <c r="L25">
        <f t="shared" si="8"/>
        <v>66</v>
      </c>
      <c r="M25">
        <f t="shared" si="9"/>
        <v>16.669999999999998</v>
      </c>
      <c r="N25" s="2">
        <f t="shared" si="10"/>
        <v>0.25257575757575756</v>
      </c>
      <c r="P25">
        <f t="shared" si="11"/>
        <v>61</v>
      </c>
      <c r="Q25">
        <f t="shared" si="12"/>
        <v>64</v>
      </c>
      <c r="R25">
        <f t="shared" si="13"/>
        <v>66</v>
      </c>
      <c r="S25" t="b">
        <f t="shared" si="14"/>
        <v>0</v>
      </c>
      <c r="U25">
        <f t="shared" si="15"/>
        <v>50</v>
      </c>
      <c r="V25">
        <f t="shared" si="16"/>
        <v>12.469999999999999</v>
      </c>
      <c r="W25" s="2">
        <f t="shared" si="17"/>
        <v>0.24939999999999998</v>
      </c>
    </row>
    <row r="26" spans="1:23" x14ac:dyDescent="0.35">
      <c r="A26">
        <v>24</v>
      </c>
      <c r="B26" t="s">
        <v>23</v>
      </c>
      <c r="C26" t="s">
        <v>33</v>
      </c>
      <c r="D26">
        <v>6.07</v>
      </c>
      <c r="E26">
        <v>57</v>
      </c>
      <c r="G26">
        <f t="shared" si="0"/>
        <v>11.079999999999998</v>
      </c>
      <c r="H26" s="2">
        <f t="shared" si="1"/>
        <v>0.19438596491228066</v>
      </c>
      <c r="J26">
        <f t="shared" si="2"/>
        <v>66</v>
      </c>
      <c r="L26">
        <f t="shared" si="8"/>
        <v>66</v>
      </c>
      <c r="M26">
        <f t="shared" si="9"/>
        <v>16.329999999999998</v>
      </c>
      <c r="N26" s="2">
        <f t="shared" si="10"/>
        <v>0.24742424242424241</v>
      </c>
      <c r="P26">
        <f t="shared" si="11"/>
        <v>60</v>
      </c>
      <c r="Q26">
        <f t="shared" si="12"/>
        <v>63</v>
      </c>
      <c r="R26">
        <f t="shared" si="13"/>
        <v>66</v>
      </c>
      <c r="S26" t="b">
        <f t="shared" si="14"/>
        <v>0</v>
      </c>
      <c r="U26">
        <f t="shared" si="15"/>
        <v>52</v>
      </c>
      <c r="V26">
        <f t="shared" si="16"/>
        <v>12.969999999999999</v>
      </c>
      <c r="W26" s="2">
        <f t="shared" si="17"/>
        <v>0.24942307692307691</v>
      </c>
    </row>
    <row r="27" spans="1:23" x14ac:dyDescent="0.35">
      <c r="A27">
        <v>25</v>
      </c>
      <c r="B27" t="s">
        <v>23</v>
      </c>
      <c r="C27" t="s">
        <v>34</v>
      </c>
      <c r="D27">
        <v>5.77</v>
      </c>
      <c r="E27">
        <v>58</v>
      </c>
      <c r="G27">
        <f t="shared" si="0"/>
        <v>11.73</v>
      </c>
      <c r="H27" s="2">
        <f t="shared" si="1"/>
        <v>0.20224137931034483</v>
      </c>
      <c r="J27">
        <f t="shared" si="2"/>
        <v>66</v>
      </c>
      <c r="L27">
        <f t="shared" si="8"/>
        <v>66</v>
      </c>
      <c r="M27">
        <f t="shared" si="9"/>
        <v>16.63</v>
      </c>
      <c r="N27" s="2">
        <f t="shared" si="10"/>
        <v>0.25196969696969695</v>
      </c>
      <c r="P27">
        <f t="shared" si="11"/>
        <v>61</v>
      </c>
      <c r="Q27">
        <f t="shared" si="12"/>
        <v>64</v>
      </c>
      <c r="R27">
        <f t="shared" si="13"/>
        <v>66</v>
      </c>
      <c r="S27" t="b">
        <f t="shared" si="14"/>
        <v>0</v>
      </c>
      <c r="U27">
        <f t="shared" si="15"/>
        <v>50</v>
      </c>
      <c r="V27">
        <f t="shared" si="16"/>
        <v>12.43</v>
      </c>
      <c r="W27" s="2">
        <f t="shared" si="17"/>
        <v>0.24859999999999999</v>
      </c>
    </row>
    <row r="28" spans="1:23" x14ac:dyDescent="0.35">
      <c r="A28">
        <v>26</v>
      </c>
      <c r="B28" t="s">
        <v>23</v>
      </c>
      <c r="C28" t="s">
        <v>35</v>
      </c>
      <c r="D28">
        <v>5.61</v>
      </c>
      <c r="E28">
        <v>57</v>
      </c>
      <c r="G28">
        <f t="shared" si="0"/>
        <v>11.54</v>
      </c>
      <c r="H28" s="2">
        <f t="shared" si="1"/>
        <v>0.20245614035087717</v>
      </c>
      <c r="J28">
        <f t="shared" si="2"/>
        <v>65</v>
      </c>
      <c r="L28">
        <f t="shared" si="8"/>
        <v>65</v>
      </c>
      <c r="M28">
        <f t="shared" si="9"/>
        <v>16.09</v>
      </c>
      <c r="N28" s="2">
        <f t="shared" si="10"/>
        <v>0.24753846153846154</v>
      </c>
      <c r="P28">
        <f t="shared" si="11"/>
        <v>60</v>
      </c>
      <c r="Q28">
        <f t="shared" si="12"/>
        <v>63</v>
      </c>
      <c r="R28">
        <f t="shared" si="13"/>
        <v>65</v>
      </c>
      <c r="S28" t="b">
        <f t="shared" si="14"/>
        <v>0</v>
      </c>
      <c r="U28">
        <f t="shared" si="15"/>
        <v>49</v>
      </c>
      <c r="V28">
        <f t="shared" si="16"/>
        <v>12.169999999999998</v>
      </c>
      <c r="W28" s="2">
        <f t="shared" si="17"/>
        <v>0.24836734693877546</v>
      </c>
    </row>
    <row r="29" spans="1:23" x14ac:dyDescent="0.35">
      <c r="A29">
        <v>27</v>
      </c>
      <c r="B29" t="s">
        <v>23</v>
      </c>
      <c r="C29" t="s">
        <v>36</v>
      </c>
      <c r="D29">
        <v>5.75</v>
      </c>
      <c r="E29">
        <v>58</v>
      </c>
      <c r="G29">
        <f t="shared" si="0"/>
        <v>11.75</v>
      </c>
      <c r="H29" s="2">
        <f t="shared" si="1"/>
        <v>0.20258620689655171</v>
      </c>
      <c r="J29">
        <f t="shared" si="2"/>
        <v>66</v>
      </c>
      <c r="L29">
        <f t="shared" si="8"/>
        <v>66</v>
      </c>
      <c r="M29">
        <f t="shared" si="9"/>
        <v>16.649999999999999</v>
      </c>
      <c r="N29" s="2">
        <f t="shared" si="10"/>
        <v>0.25227272727272726</v>
      </c>
      <c r="P29">
        <f t="shared" si="11"/>
        <v>61</v>
      </c>
      <c r="Q29">
        <f t="shared" si="12"/>
        <v>64</v>
      </c>
      <c r="R29">
        <f t="shared" si="13"/>
        <v>66</v>
      </c>
      <c r="S29" t="b">
        <f t="shared" si="14"/>
        <v>0</v>
      </c>
      <c r="U29">
        <f t="shared" si="15"/>
        <v>50</v>
      </c>
      <c r="V29">
        <f t="shared" si="16"/>
        <v>12.45</v>
      </c>
      <c r="W29" s="2">
        <f t="shared" si="17"/>
        <v>0.249</v>
      </c>
    </row>
    <row r="30" spans="1:23" x14ac:dyDescent="0.35">
      <c r="A30">
        <v>28</v>
      </c>
      <c r="B30" t="s">
        <v>23</v>
      </c>
      <c r="C30" t="s">
        <v>37</v>
      </c>
      <c r="D30">
        <v>5.73</v>
      </c>
      <c r="E30">
        <v>57</v>
      </c>
      <c r="G30">
        <f t="shared" si="0"/>
        <v>11.419999999999998</v>
      </c>
      <c r="H30" s="2">
        <f t="shared" si="1"/>
        <v>0.20035087719298242</v>
      </c>
      <c r="J30">
        <f t="shared" si="2"/>
        <v>66</v>
      </c>
      <c r="L30">
        <f t="shared" si="8"/>
        <v>66</v>
      </c>
      <c r="M30">
        <f t="shared" si="9"/>
        <v>16.669999999999998</v>
      </c>
      <c r="N30" s="2">
        <f t="shared" si="10"/>
        <v>0.25257575757575756</v>
      </c>
      <c r="P30">
        <f t="shared" si="11"/>
        <v>60</v>
      </c>
      <c r="Q30">
        <f t="shared" si="12"/>
        <v>63</v>
      </c>
      <c r="R30">
        <f t="shared" si="13"/>
        <v>66</v>
      </c>
      <c r="S30" t="b">
        <f t="shared" si="14"/>
        <v>0</v>
      </c>
      <c r="U30">
        <f t="shared" si="15"/>
        <v>50</v>
      </c>
      <c r="V30">
        <f t="shared" si="16"/>
        <v>12.469999999999999</v>
      </c>
      <c r="W30" s="2">
        <f t="shared" si="17"/>
        <v>0.24939999999999998</v>
      </c>
    </row>
    <row r="31" spans="1:23" x14ac:dyDescent="0.35">
      <c r="A31">
        <v>29</v>
      </c>
      <c r="B31" t="s">
        <v>38</v>
      </c>
      <c r="C31" t="s">
        <v>39</v>
      </c>
      <c r="D31">
        <v>10.61</v>
      </c>
      <c r="E31">
        <v>69</v>
      </c>
      <c r="G31">
        <f t="shared" si="0"/>
        <v>13.89</v>
      </c>
      <c r="H31" s="2">
        <f t="shared" si="1"/>
        <v>0.20130434782608697</v>
      </c>
      <c r="J31">
        <f t="shared" si="2"/>
        <v>76</v>
      </c>
      <c r="L31">
        <f t="shared" si="8"/>
        <v>76</v>
      </c>
      <c r="M31">
        <f t="shared" si="9"/>
        <v>18.79</v>
      </c>
      <c r="N31" s="2">
        <f t="shared" si="10"/>
        <v>0.24723684210526314</v>
      </c>
      <c r="P31">
        <f t="shared" si="11"/>
        <v>72</v>
      </c>
      <c r="Q31">
        <f t="shared" si="12"/>
        <v>75</v>
      </c>
      <c r="R31">
        <f t="shared" si="13"/>
        <v>76</v>
      </c>
      <c r="S31" t="b">
        <f t="shared" si="14"/>
        <v>0</v>
      </c>
      <c r="U31">
        <f t="shared" si="15"/>
        <v>76</v>
      </c>
      <c r="V31">
        <f t="shared" si="16"/>
        <v>18.79</v>
      </c>
      <c r="W31" s="2">
        <f t="shared" si="17"/>
        <v>0.24723684210526314</v>
      </c>
    </row>
    <row r="32" spans="1:23" x14ac:dyDescent="0.35">
      <c r="A32">
        <v>30</v>
      </c>
      <c r="B32" t="s">
        <v>38</v>
      </c>
      <c r="C32" t="s">
        <v>40</v>
      </c>
      <c r="D32">
        <v>13.15</v>
      </c>
      <c r="E32">
        <v>71</v>
      </c>
      <c r="G32">
        <f t="shared" si="0"/>
        <v>12.749999999999998</v>
      </c>
      <c r="H32" s="2">
        <f t="shared" si="1"/>
        <v>0.17957746478873238</v>
      </c>
      <c r="J32">
        <f t="shared" si="2"/>
        <v>82</v>
      </c>
      <c r="L32">
        <f t="shared" si="8"/>
        <v>82</v>
      </c>
      <c r="M32">
        <f t="shared" si="9"/>
        <v>20.449999999999996</v>
      </c>
      <c r="N32" s="2">
        <f t="shared" si="10"/>
        <v>0.24939024390243897</v>
      </c>
      <c r="P32">
        <f t="shared" si="11"/>
        <v>74</v>
      </c>
      <c r="Q32">
        <f t="shared" si="12"/>
        <v>77</v>
      </c>
      <c r="R32">
        <f t="shared" si="13"/>
        <v>80</v>
      </c>
      <c r="S32" t="b">
        <f t="shared" si="14"/>
        <v>0</v>
      </c>
      <c r="U32">
        <f t="shared" si="15"/>
        <v>82</v>
      </c>
      <c r="V32">
        <f t="shared" si="16"/>
        <v>20.449999999999996</v>
      </c>
      <c r="W32" s="2">
        <f t="shared" si="17"/>
        <v>0.24939024390243897</v>
      </c>
    </row>
    <row r="33" spans="1:23" x14ac:dyDescent="0.35">
      <c r="A33">
        <v>31</v>
      </c>
      <c r="B33" t="s">
        <v>38</v>
      </c>
      <c r="C33" t="s">
        <v>41</v>
      </c>
      <c r="D33">
        <v>10.97</v>
      </c>
      <c r="E33">
        <v>71</v>
      </c>
      <c r="G33">
        <f t="shared" si="0"/>
        <v>14.929999999999998</v>
      </c>
      <c r="H33" s="2">
        <f t="shared" si="1"/>
        <v>0.21028169014084505</v>
      </c>
      <c r="J33">
        <f t="shared" si="2"/>
        <v>77</v>
      </c>
      <c r="L33">
        <f t="shared" si="8"/>
        <v>77</v>
      </c>
      <c r="M33">
        <f t="shared" si="9"/>
        <v>19.129999999999995</v>
      </c>
      <c r="N33" s="2">
        <f t="shared" si="10"/>
        <v>0.24844155844155838</v>
      </c>
      <c r="P33">
        <f t="shared" si="11"/>
        <v>74</v>
      </c>
      <c r="Q33">
        <f t="shared" si="12"/>
        <v>77</v>
      </c>
      <c r="R33">
        <f t="shared" si="13"/>
        <v>77</v>
      </c>
      <c r="S33" t="b">
        <f t="shared" si="14"/>
        <v>0</v>
      </c>
      <c r="U33">
        <f t="shared" si="15"/>
        <v>77</v>
      </c>
      <c r="V33">
        <f t="shared" si="16"/>
        <v>19.129999999999995</v>
      </c>
      <c r="W33" s="2">
        <f t="shared" si="17"/>
        <v>0.24844155844155838</v>
      </c>
    </row>
    <row r="34" spans="1:23" x14ac:dyDescent="0.35">
      <c r="A34">
        <v>32</v>
      </c>
      <c r="B34" t="s">
        <v>38</v>
      </c>
      <c r="C34" t="s">
        <v>42</v>
      </c>
      <c r="D34">
        <v>10.42</v>
      </c>
      <c r="G34">
        <f t="shared" si="0"/>
        <v>-13.219999999999999</v>
      </c>
      <c r="H34" s="2">
        <f t="shared" si="1"/>
        <v>0</v>
      </c>
      <c r="J34">
        <f t="shared" si="2"/>
        <v>76</v>
      </c>
      <c r="L34">
        <f t="shared" si="8"/>
        <v>76</v>
      </c>
      <c r="M34">
        <f t="shared" si="9"/>
        <v>18.979999999999997</v>
      </c>
      <c r="N34" s="2">
        <f t="shared" si="10"/>
        <v>0.24973684210526312</v>
      </c>
      <c r="P34">
        <f t="shared" si="11"/>
        <v>3</v>
      </c>
      <c r="Q34">
        <f t="shared" si="12"/>
        <v>6</v>
      </c>
      <c r="R34">
        <f t="shared" si="13"/>
        <v>9</v>
      </c>
      <c r="S34" t="b">
        <f t="shared" si="14"/>
        <v>0</v>
      </c>
      <c r="U34">
        <f t="shared" si="15"/>
        <v>76</v>
      </c>
      <c r="V34">
        <f t="shared" si="16"/>
        <v>18.979999999999997</v>
      </c>
      <c r="W34" s="2">
        <f t="shared" si="17"/>
        <v>0.24973684210526312</v>
      </c>
    </row>
    <row r="35" spans="1:23" x14ac:dyDescent="0.35">
      <c r="A35">
        <v>33</v>
      </c>
      <c r="B35" t="s">
        <v>38</v>
      </c>
      <c r="C35" t="s">
        <v>43</v>
      </c>
      <c r="D35">
        <v>11</v>
      </c>
      <c r="E35">
        <v>71</v>
      </c>
      <c r="G35">
        <f t="shared" ref="G35:G66" si="18">IFERROR(((E35-MIN(E35/2,30)-4)*0.7)-$D35,0)</f>
        <v>14.899999999999999</v>
      </c>
      <c r="H35" s="2">
        <f t="shared" ref="H35:H66" si="19">IFERROR(G35/E35,0)</f>
        <v>0.20985915492957744</v>
      </c>
      <c r="J35">
        <f t="shared" ref="J35:J66" si="20">ROUND(IF(D35&lt;=3.2,28+10*(D35),(23.8+D35)/0.45),0)</f>
        <v>77</v>
      </c>
      <c r="L35">
        <f t="shared" si="8"/>
        <v>77</v>
      </c>
      <c r="M35">
        <f t="shared" si="9"/>
        <v>19.099999999999998</v>
      </c>
      <c r="N35" s="2">
        <f t="shared" si="10"/>
        <v>0.24805194805194802</v>
      </c>
      <c r="P35">
        <f t="shared" si="11"/>
        <v>74</v>
      </c>
      <c r="Q35">
        <f t="shared" si="12"/>
        <v>77</v>
      </c>
      <c r="R35">
        <f t="shared" si="13"/>
        <v>77</v>
      </c>
      <c r="S35" t="b">
        <f t="shared" si="14"/>
        <v>0</v>
      </c>
      <c r="U35">
        <f t="shared" si="15"/>
        <v>77</v>
      </c>
      <c r="V35">
        <f t="shared" si="16"/>
        <v>19.099999999999998</v>
      </c>
      <c r="W35" s="2">
        <f t="shared" si="17"/>
        <v>0.24805194805194802</v>
      </c>
    </row>
    <row r="36" spans="1:23" x14ac:dyDescent="0.35">
      <c r="A36">
        <v>34</v>
      </c>
      <c r="B36" t="s">
        <v>38</v>
      </c>
      <c r="C36" t="s">
        <v>44</v>
      </c>
      <c r="D36">
        <v>10.85</v>
      </c>
      <c r="E36">
        <v>71</v>
      </c>
      <c r="G36">
        <f t="shared" si="18"/>
        <v>15.049999999999999</v>
      </c>
      <c r="H36" s="2">
        <f t="shared" si="19"/>
        <v>0.21197183098591549</v>
      </c>
      <c r="J36">
        <f t="shared" si="20"/>
        <v>77</v>
      </c>
      <c r="L36">
        <f t="shared" si="8"/>
        <v>77</v>
      </c>
      <c r="M36">
        <f t="shared" si="9"/>
        <v>19.25</v>
      </c>
      <c r="N36" s="2">
        <f t="shared" si="10"/>
        <v>0.25</v>
      </c>
      <c r="P36">
        <f t="shared" si="11"/>
        <v>74</v>
      </c>
      <c r="Q36">
        <f t="shared" si="12"/>
        <v>77</v>
      </c>
      <c r="R36">
        <f t="shared" si="13"/>
        <v>77</v>
      </c>
      <c r="S36" t="b">
        <f t="shared" si="14"/>
        <v>0</v>
      </c>
      <c r="U36">
        <f t="shared" si="15"/>
        <v>77</v>
      </c>
      <c r="V36">
        <f t="shared" si="16"/>
        <v>19.25</v>
      </c>
      <c r="W36" s="2">
        <f t="shared" si="17"/>
        <v>0.25</v>
      </c>
    </row>
    <row r="37" spans="1:23" x14ac:dyDescent="0.35">
      <c r="A37">
        <v>35</v>
      </c>
      <c r="B37" t="s">
        <v>38</v>
      </c>
      <c r="C37" t="s">
        <v>45</v>
      </c>
      <c r="D37">
        <v>10.97</v>
      </c>
      <c r="E37">
        <v>68</v>
      </c>
      <c r="G37">
        <f t="shared" si="18"/>
        <v>12.829999999999997</v>
      </c>
      <c r="H37" s="2">
        <f t="shared" si="19"/>
        <v>0.18867647058823525</v>
      </c>
      <c r="J37">
        <f t="shared" si="20"/>
        <v>77</v>
      </c>
      <c r="L37">
        <f t="shared" si="8"/>
        <v>77</v>
      </c>
      <c r="M37">
        <f t="shared" si="9"/>
        <v>19.129999999999995</v>
      </c>
      <c r="N37" s="2">
        <f t="shared" si="10"/>
        <v>0.24844155844155838</v>
      </c>
      <c r="P37">
        <f t="shared" si="11"/>
        <v>71</v>
      </c>
      <c r="Q37">
        <f t="shared" si="12"/>
        <v>74</v>
      </c>
      <c r="R37">
        <f t="shared" si="13"/>
        <v>77</v>
      </c>
      <c r="S37" t="b">
        <f t="shared" si="14"/>
        <v>0</v>
      </c>
      <c r="U37">
        <f t="shared" si="15"/>
        <v>77</v>
      </c>
      <c r="V37">
        <f t="shared" si="16"/>
        <v>19.129999999999995</v>
      </c>
      <c r="W37" s="2">
        <f t="shared" si="17"/>
        <v>0.24844155844155838</v>
      </c>
    </row>
    <row r="38" spans="1:23" x14ac:dyDescent="0.35">
      <c r="A38">
        <v>36</v>
      </c>
      <c r="B38" t="s">
        <v>38</v>
      </c>
      <c r="C38" t="s">
        <v>46</v>
      </c>
      <c r="D38">
        <v>11.22</v>
      </c>
      <c r="E38">
        <v>73</v>
      </c>
      <c r="G38">
        <f t="shared" si="18"/>
        <v>16.079999999999998</v>
      </c>
      <c r="H38" s="2">
        <f t="shared" si="19"/>
        <v>0.2202739726027397</v>
      </c>
      <c r="J38">
        <f t="shared" si="20"/>
        <v>78</v>
      </c>
      <c r="L38">
        <f t="shared" si="8"/>
        <v>78</v>
      </c>
      <c r="M38">
        <f t="shared" si="9"/>
        <v>19.579999999999998</v>
      </c>
      <c r="N38" s="2">
        <f t="shared" si="10"/>
        <v>0.25102564102564101</v>
      </c>
      <c r="P38">
        <f t="shared" si="11"/>
        <v>76</v>
      </c>
      <c r="Q38">
        <f t="shared" si="12"/>
        <v>78</v>
      </c>
      <c r="R38">
        <f t="shared" si="13"/>
        <v>78</v>
      </c>
      <c r="S38" t="b">
        <f t="shared" si="14"/>
        <v>0</v>
      </c>
      <c r="U38">
        <f t="shared" si="15"/>
        <v>78</v>
      </c>
      <c r="V38">
        <f t="shared" si="16"/>
        <v>19.579999999999998</v>
      </c>
      <c r="W38" s="2">
        <f t="shared" si="17"/>
        <v>0.25102564102564101</v>
      </c>
    </row>
    <row r="39" spans="1:23" x14ac:dyDescent="0.35">
      <c r="A39">
        <v>37</v>
      </c>
      <c r="B39" t="s">
        <v>38</v>
      </c>
      <c r="C39" t="s">
        <v>47</v>
      </c>
      <c r="D39">
        <v>11.03</v>
      </c>
      <c r="E39">
        <v>73</v>
      </c>
      <c r="G39">
        <f t="shared" si="18"/>
        <v>16.269999999999996</v>
      </c>
      <c r="H39" s="2">
        <f t="shared" si="19"/>
        <v>0.22287671232876707</v>
      </c>
      <c r="J39">
        <f t="shared" si="20"/>
        <v>77</v>
      </c>
      <c r="L39">
        <f t="shared" si="8"/>
        <v>77</v>
      </c>
      <c r="M39">
        <f t="shared" si="9"/>
        <v>19.07</v>
      </c>
      <c r="N39" s="2">
        <f t="shared" si="10"/>
        <v>0.24766233766233767</v>
      </c>
      <c r="P39">
        <f t="shared" si="11"/>
        <v>76</v>
      </c>
      <c r="Q39">
        <f t="shared" si="12"/>
        <v>77</v>
      </c>
      <c r="R39">
        <f t="shared" si="13"/>
        <v>77</v>
      </c>
      <c r="S39" t="b">
        <f t="shared" si="14"/>
        <v>0</v>
      </c>
      <c r="U39">
        <f t="shared" si="15"/>
        <v>77</v>
      </c>
      <c r="V39">
        <f t="shared" si="16"/>
        <v>19.07</v>
      </c>
      <c r="W39" s="2">
        <f t="shared" si="17"/>
        <v>0.24766233766233767</v>
      </c>
    </row>
    <row r="40" spans="1:23" x14ac:dyDescent="0.35">
      <c r="A40">
        <v>38</v>
      </c>
      <c r="B40" t="s">
        <v>38</v>
      </c>
      <c r="C40" t="s">
        <v>48</v>
      </c>
      <c r="D40">
        <v>17</v>
      </c>
      <c r="E40">
        <v>85</v>
      </c>
      <c r="G40">
        <f t="shared" si="18"/>
        <v>18.699999999999996</v>
      </c>
      <c r="H40" s="2">
        <f t="shared" si="19"/>
        <v>0.21999999999999995</v>
      </c>
      <c r="J40">
        <f t="shared" si="20"/>
        <v>91</v>
      </c>
      <c r="L40">
        <f t="shared" si="8"/>
        <v>91</v>
      </c>
      <c r="M40">
        <f t="shared" si="9"/>
        <v>22.9</v>
      </c>
      <c r="N40" s="2">
        <f t="shared" si="10"/>
        <v>0.25164835164835164</v>
      </c>
      <c r="P40">
        <f t="shared" si="11"/>
        <v>88</v>
      </c>
      <c r="Q40">
        <f t="shared" si="12"/>
        <v>91</v>
      </c>
      <c r="R40">
        <f t="shared" si="13"/>
        <v>91</v>
      </c>
      <c r="S40" t="b">
        <f t="shared" si="14"/>
        <v>0</v>
      </c>
      <c r="U40">
        <f t="shared" si="15"/>
        <v>91</v>
      </c>
      <c r="V40">
        <f t="shared" si="16"/>
        <v>22.9</v>
      </c>
      <c r="W40" s="2">
        <f t="shared" si="17"/>
        <v>0.25164835164835164</v>
      </c>
    </row>
    <row r="41" spans="1:23" x14ac:dyDescent="0.35">
      <c r="A41">
        <v>39</v>
      </c>
      <c r="B41" t="s">
        <v>38</v>
      </c>
      <c r="C41" t="s">
        <v>49</v>
      </c>
      <c r="D41">
        <v>13.2</v>
      </c>
      <c r="E41">
        <v>76</v>
      </c>
      <c r="G41">
        <f t="shared" si="18"/>
        <v>16.2</v>
      </c>
      <c r="H41" s="2">
        <f t="shared" si="19"/>
        <v>0.2131578947368421</v>
      </c>
      <c r="J41">
        <f t="shared" si="20"/>
        <v>82</v>
      </c>
      <c r="L41">
        <f t="shared" si="8"/>
        <v>82</v>
      </c>
      <c r="M41">
        <f t="shared" si="9"/>
        <v>20.399999999999995</v>
      </c>
      <c r="N41" s="2">
        <f t="shared" si="10"/>
        <v>0.24878048780487799</v>
      </c>
      <c r="P41">
        <f t="shared" si="11"/>
        <v>79</v>
      </c>
      <c r="Q41">
        <f t="shared" si="12"/>
        <v>82</v>
      </c>
      <c r="R41">
        <f t="shared" si="13"/>
        <v>82</v>
      </c>
      <c r="S41" t="b">
        <f t="shared" si="14"/>
        <v>0</v>
      </c>
      <c r="U41">
        <f t="shared" si="15"/>
        <v>82</v>
      </c>
      <c r="V41">
        <f t="shared" si="16"/>
        <v>20.399999999999995</v>
      </c>
      <c r="W41" s="2">
        <f t="shared" si="17"/>
        <v>0.24878048780487799</v>
      </c>
    </row>
    <row r="42" spans="1:23" x14ac:dyDescent="0.35">
      <c r="A42">
        <v>40</v>
      </c>
      <c r="B42" t="s">
        <v>38</v>
      </c>
      <c r="C42" t="s">
        <v>50</v>
      </c>
      <c r="D42">
        <v>13.15</v>
      </c>
      <c r="E42">
        <v>75</v>
      </c>
      <c r="G42">
        <f t="shared" si="18"/>
        <v>15.549999999999999</v>
      </c>
      <c r="H42" s="2">
        <f t="shared" si="19"/>
        <v>0.20733333333333331</v>
      </c>
      <c r="J42">
        <f t="shared" si="20"/>
        <v>82</v>
      </c>
      <c r="L42">
        <f t="shared" si="8"/>
        <v>82</v>
      </c>
      <c r="M42">
        <f t="shared" si="9"/>
        <v>20.449999999999996</v>
      </c>
      <c r="N42" s="2">
        <f t="shared" si="10"/>
        <v>0.24939024390243897</v>
      </c>
      <c r="P42">
        <f t="shared" si="11"/>
        <v>78</v>
      </c>
      <c r="Q42">
        <f t="shared" si="12"/>
        <v>81</v>
      </c>
      <c r="R42">
        <f t="shared" si="13"/>
        <v>82</v>
      </c>
      <c r="S42" t="b">
        <f t="shared" si="14"/>
        <v>0</v>
      </c>
      <c r="U42">
        <f t="shared" si="15"/>
        <v>82</v>
      </c>
      <c r="V42">
        <f t="shared" si="16"/>
        <v>20.449999999999996</v>
      </c>
      <c r="W42" s="2">
        <f t="shared" si="17"/>
        <v>0.24939024390243897</v>
      </c>
    </row>
    <row r="43" spans="1:23" x14ac:dyDescent="0.35">
      <c r="A43">
        <v>41</v>
      </c>
      <c r="B43" t="s">
        <v>38</v>
      </c>
      <c r="C43" t="s">
        <v>51</v>
      </c>
      <c r="D43">
        <v>10.96</v>
      </c>
      <c r="E43">
        <v>71</v>
      </c>
      <c r="G43">
        <f t="shared" si="18"/>
        <v>14.939999999999998</v>
      </c>
      <c r="H43" s="2">
        <f t="shared" si="19"/>
        <v>0.21042253521126758</v>
      </c>
      <c r="J43">
        <f t="shared" si="20"/>
        <v>77</v>
      </c>
      <c r="L43">
        <f t="shared" si="8"/>
        <v>77</v>
      </c>
      <c r="M43">
        <f t="shared" si="9"/>
        <v>19.139999999999997</v>
      </c>
      <c r="N43" s="2">
        <f t="shared" si="10"/>
        <v>0.24857142857142853</v>
      </c>
      <c r="P43">
        <f t="shared" si="11"/>
        <v>74</v>
      </c>
      <c r="Q43">
        <f t="shared" si="12"/>
        <v>77</v>
      </c>
      <c r="R43">
        <f t="shared" si="13"/>
        <v>77</v>
      </c>
      <c r="S43" t="b">
        <f t="shared" si="14"/>
        <v>0</v>
      </c>
      <c r="U43">
        <f t="shared" si="15"/>
        <v>77</v>
      </c>
      <c r="V43">
        <f t="shared" si="16"/>
        <v>19.139999999999997</v>
      </c>
      <c r="W43" s="2">
        <f t="shared" si="17"/>
        <v>0.24857142857142853</v>
      </c>
    </row>
    <row r="44" spans="1:23" x14ac:dyDescent="0.35">
      <c r="A44">
        <v>42</v>
      </c>
      <c r="B44" t="s">
        <v>38</v>
      </c>
      <c r="C44" t="s">
        <v>52</v>
      </c>
      <c r="D44">
        <v>6.65</v>
      </c>
      <c r="E44">
        <v>58</v>
      </c>
      <c r="G44">
        <f t="shared" si="18"/>
        <v>10.85</v>
      </c>
      <c r="H44" s="2">
        <f t="shared" si="19"/>
        <v>0.18706896551724136</v>
      </c>
      <c r="J44">
        <f t="shared" si="20"/>
        <v>68</v>
      </c>
      <c r="L44">
        <f t="shared" si="8"/>
        <v>68</v>
      </c>
      <c r="M44">
        <f t="shared" si="9"/>
        <v>17.149999999999999</v>
      </c>
      <c r="N44" s="2">
        <f t="shared" si="10"/>
        <v>0.25220588235294117</v>
      </c>
      <c r="P44">
        <f t="shared" si="11"/>
        <v>61</v>
      </c>
      <c r="Q44">
        <f t="shared" si="12"/>
        <v>64</v>
      </c>
      <c r="R44">
        <f t="shared" si="13"/>
        <v>67</v>
      </c>
      <c r="S44" t="b">
        <f t="shared" si="14"/>
        <v>0</v>
      </c>
      <c r="U44">
        <f t="shared" si="15"/>
        <v>56</v>
      </c>
      <c r="V44">
        <f t="shared" si="16"/>
        <v>14.069999999999995</v>
      </c>
      <c r="W44" s="2">
        <f t="shared" si="17"/>
        <v>0.25124999999999992</v>
      </c>
    </row>
    <row r="45" spans="1:23" x14ac:dyDescent="0.35">
      <c r="A45">
        <v>43</v>
      </c>
      <c r="B45" t="s">
        <v>38</v>
      </c>
      <c r="C45" t="s">
        <v>53</v>
      </c>
      <c r="D45">
        <v>5.4</v>
      </c>
      <c r="E45">
        <v>59</v>
      </c>
      <c r="G45">
        <f t="shared" si="18"/>
        <v>12.449999999999998</v>
      </c>
      <c r="H45" s="2">
        <f t="shared" si="19"/>
        <v>0.21101694915254232</v>
      </c>
      <c r="J45">
        <f t="shared" si="20"/>
        <v>65</v>
      </c>
      <c r="L45">
        <f t="shared" si="8"/>
        <v>65</v>
      </c>
      <c r="M45">
        <f t="shared" si="9"/>
        <v>16.299999999999997</v>
      </c>
      <c r="N45" s="2">
        <f t="shared" si="10"/>
        <v>0.25076923076923074</v>
      </c>
      <c r="P45">
        <f t="shared" si="11"/>
        <v>62</v>
      </c>
      <c r="Q45">
        <f t="shared" si="12"/>
        <v>65</v>
      </c>
      <c r="R45">
        <f t="shared" si="13"/>
        <v>65</v>
      </c>
      <c r="S45" t="b">
        <f t="shared" si="14"/>
        <v>0</v>
      </c>
      <c r="U45">
        <f t="shared" si="15"/>
        <v>48</v>
      </c>
      <c r="V45">
        <f t="shared" si="16"/>
        <v>11.959999999999996</v>
      </c>
      <c r="W45" s="2">
        <f t="shared" si="17"/>
        <v>0.24916666666666656</v>
      </c>
    </row>
    <row r="46" spans="1:23" x14ac:dyDescent="0.35">
      <c r="A46">
        <v>44</v>
      </c>
      <c r="B46" t="s">
        <v>38</v>
      </c>
      <c r="C46" t="s">
        <v>54</v>
      </c>
      <c r="D46">
        <v>5.64</v>
      </c>
      <c r="E46">
        <v>59</v>
      </c>
      <c r="G46">
        <f t="shared" si="18"/>
        <v>12.209999999999997</v>
      </c>
      <c r="H46" s="2">
        <f t="shared" si="19"/>
        <v>0.20694915254237284</v>
      </c>
      <c r="J46">
        <f t="shared" si="20"/>
        <v>65</v>
      </c>
      <c r="L46">
        <f t="shared" si="8"/>
        <v>65</v>
      </c>
      <c r="M46">
        <f t="shared" si="9"/>
        <v>16.059999999999999</v>
      </c>
      <c r="N46" s="2">
        <f t="shared" si="10"/>
        <v>0.24707692307692306</v>
      </c>
      <c r="P46">
        <f t="shared" si="11"/>
        <v>62</v>
      </c>
      <c r="Q46">
        <f t="shared" si="12"/>
        <v>65</v>
      </c>
      <c r="R46">
        <f t="shared" si="13"/>
        <v>65</v>
      </c>
      <c r="S46" t="b">
        <f t="shared" si="14"/>
        <v>0</v>
      </c>
      <c r="U46">
        <f t="shared" si="15"/>
        <v>50</v>
      </c>
      <c r="V46">
        <f t="shared" si="16"/>
        <v>12.559999999999999</v>
      </c>
      <c r="W46" s="2">
        <f t="shared" si="17"/>
        <v>0.25119999999999998</v>
      </c>
    </row>
    <row r="47" spans="1:23" x14ac:dyDescent="0.35">
      <c r="A47">
        <v>45</v>
      </c>
      <c r="B47" t="s">
        <v>38</v>
      </c>
      <c r="C47" t="s">
        <v>55</v>
      </c>
      <c r="D47">
        <v>5.21</v>
      </c>
      <c r="E47">
        <v>59</v>
      </c>
      <c r="G47">
        <f t="shared" si="18"/>
        <v>12.639999999999997</v>
      </c>
      <c r="H47" s="2">
        <f t="shared" si="19"/>
        <v>0.21423728813559317</v>
      </c>
      <c r="J47">
        <f t="shared" si="20"/>
        <v>64</v>
      </c>
      <c r="L47">
        <f t="shared" si="8"/>
        <v>64</v>
      </c>
      <c r="M47">
        <f t="shared" si="9"/>
        <v>15.79</v>
      </c>
      <c r="N47" s="2">
        <f t="shared" si="10"/>
        <v>0.24671874999999999</v>
      </c>
      <c r="P47">
        <f t="shared" si="11"/>
        <v>62</v>
      </c>
      <c r="Q47">
        <f t="shared" si="12"/>
        <v>64</v>
      </c>
      <c r="R47">
        <f t="shared" si="13"/>
        <v>64</v>
      </c>
      <c r="S47" t="b">
        <f t="shared" si="14"/>
        <v>0</v>
      </c>
      <c r="U47">
        <f t="shared" si="15"/>
        <v>47</v>
      </c>
      <c r="V47">
        <f t="shared" si="16"/>
        <v>11.729999999999997</v>
      </c>
      <c r="W47" s="2">
        <f t="shared" si="17"/>
        <v>0.2495744680851063</v>
      </c>
    </row>
    <row r="48" spans="1:23" x14ac:dyDescent="0.35">
      <c r="A48">
        <v>46</v>
      </c>
      <c r="B48" t="s">
        <v>38</v>
      </c>
      <c r="C48" t="s">
        <v>56</v>
      </c>
      <c r="D48">
        <v>3.65</v>
      </c>
      <c r="E48">
        <v>59</v>
      </c>
      <c r="G48">
        <f t="shared" si="18"/>
        <v>14.199999999999998</v>
      </c>
      <c r="H48" s="2">
        <f t="shared" si="19"/>
        <v>0.24067796610169487</v>
      </c>
      <c r="J48">
        <f t="shared" si="20"/>
        <v>61</v>
      </c>
      <c r="L48">
        <f t="shared" si="8"/>
        <v>61</v>
      </c>
      <c r="M48">
        <f t="shared" si="9"/>
        <v>15.249999999999998</v>
      </c>
      <c r="N48" s="2">
        <f t="shared" si="10"/>
        <v>0.24999999999999997</v>
      </c>
      <c r="P48">
        <f t="shared" si="11"/>
        <v>61</v>
      </c>
      <c r="Q48">
        <f t="shared" si="12"/>
        <v>61</v>
      </c>
      <c r="R48">
        <f t="shared" si="13"/>
        <v>61</v>
      </c>
      <c r="S48" t="b">
        <f t="shared" si="14"/>
        <v>0</v>
      </c>
      <c r="U48">
        <f t="shared" si="15"/>
        <v>38</v>
      </c>
      <c r="V48">
        <f t="shared" si="16"/>
        <v>9.5099999999999962</v>
      </c>
      <c r="W48" s="2">
        <f t="shared" si="17"/>
        <v>0.25026315789473674</v>
      </c>
    </row>
    <row r="49" spans="1:23" x14ac:dyDescent="0.35">
      <c r="A49">
        <v>47</v>
      </c>
      <c r="B49" t="s">
        <v>38</v>
      </c>
      <c r="C49" t="s">
        <v>57</v>
      </c>
      <c r="D49">
        <v>3.75</v>
      </c>
      <c r="E49">
        <v>59</v>
      </c>
      <c r="G49">
        <f t="shared" si="18"/>
        <v>14.099999999999998</v>
      </c>
      <c r="H49" s="2">
        <f t="shared" si="19"/>
        <v>0.23898305084745758</v>
      </c>
      <c r="J49">
        <f t="shared" si="20"/>
        <v>61</v>
      </c>
      <c r="L49">
        <f t="shared" si="8"/>
        <v>61</v>
      </c>
      <c r="M49">
        <f t="shared" si="9"/>
        <v>15.149999999999999</v>
      </c>
      <c r="N49" s="2">
        <f t="shared" si="10"/>
        <v>0.24836065573770488</v>
      </c>
      <c r="P49">
        <f t="shared" si="11"/>
        <v>61</v>
      </c>
      <c r="Q49">
        <f t="shared" si="12"/>
        <v>61</v>
      </c>
      <c r="R49">
        <f t="shared" si="13"/>
        <v>61</v>
      </c>
      <c r="S49" t="b">
        <f t="shared" si="14"/>
        <v>0</v>
      </c>
      <c r="U49">
        <f t="shared" si="15"/>
        <v>39</v>
      </c>
      <c r="V49">
        <f t="shared" si="16"/>
        <v>9.8299999999999983</v>
      </c>
      <c r="W49" s="2">
        <f t="shared" si="17"/>
        <v>0.25205128205128202</v>
      </c>
    </row>
    <row r="50" spans="1:23" x14ac:dyDescent="0.35">
      <c r="A50">
        <v>48</v>
      </c>
      <c r="B50" t="s">
        <v>38</v>
      </c>
      <c r="C50" t="s">
        <v>58</v>
      </c>
      <c r="D50">
        <v>5.43</v>
      </c>
      <c r="E50">
        <v>59</v>
      </c>
      <c r="G50">
        <f t="shared" si="18"/>
        <v>12.419999999999998</v>
      </c>
      <c r="H50" s="2">
        <f t="shared" si="19"/>
        <v>0.21050847457627114</v>
      </c>
      <c r="J50">
        <f t="shared" si="20"/>
        <v>65</v>
      </c>
      <c r="L50">
        <f t="shared" si="8"/>
        <v>65</v>
      </c>
      <c r="M50">
        <f t="shared" si="9"/>
        <v>16.27</v>
      </c>
      <c r="N50" s="2">
        <f t="shared" si="10"/>
        <v>0.25030769230769229</v>
      </c>
      <c r="P50">
        <f t="shared" si="11"/>
        <v>62</v>
      </c>
      <c r="Q50">
        <f t="shared" si="12"/>
        <v>65</v>
      </c>
      <c r="R50">
        <f t="shared" si="13"/>
        <v>65</v>
      </c>
      <c r="S50" t="b">
        <f t="shared" si="14"/>
        <v>0</v>
      </c>
      <c r="U50">
        <f t="shared" si="15"/>
        <v>48</v>
      </c>
      <c r="V50">
        <f t="shared" si="16"/>
        <v>11.929999999999996</v>
      </c>
      <c r="W50" s="2">
        <f t="shared" si="17"/>
        <v>0.24854166666666658</v>
      </c>
    </row>
    <row r="51" spans="1:23" x14ac:dyDescent="0.35">
      <c r="A51">
        <v>49</v>
      </c>
      <c r="B51" t="s">
        <v>38</v>
      </c>
      <c r="C51" t="s">
        <v>59</v>
      </c>
      <c r="D51">
        <v>5.39</v>
      </c>
      <c r="E51">
        <v>59</v>
      </c>
      <c r="G51">
        <f t="shared" si="18"/>
        <v>12.459999999999997</v>
      </c>
      <c r="H51" s="2">
        <f t="shared" si="19"/>
        <v>0.21118644067796605</v>
      </c>
      <c r="J51">
        <f t="shared" si="20"/>
        <v>65</v>
      </c>
      <c r="L51">
        <f t="shared" si="8"/>
        <v>65</v>
      </c>
      <c r="M51">
        <f t="shared" si="9"/>
        <v>16.309999999999999</v>
      </c>
      <c r="N51" s="2">
        <f t="shared" si="10"/>
        <v>0.25092307692307692</v>
      </c>
      <c r="P51">
        <f t="shared" si="11"/>
        <v>62</v>
      </c>
      <c r="Q51">
        <f t="shared" si="12"/>
        <v>65</v>
      </c>
      <c r="R51">
        <f t="shared" si="13"/>
        <v>65</v>
      </c>
      <c r="S51" t="b">
        <f t="shared" si="14"/>
        <v>0</v>
      </c>
      <c r="U51">
        <f t="shared" si="15"/>
        <v>48</v>
      </c>
      <c r="V51">
        <f t="shared" si="16"/>
        <v>11.969999999999995</v>
      </c>
      <c r="W51" s="2">
        <f t="shared" si="17"/>
        <v>0.2493749999999999</v>
      </c>
    </row>
    <row r="52" spans="1:23" x14ac:dyDescent="0.35">
      <c r="A52">
        <v>50</v>
      </c>
      <c r="B52" t="s">
        <v>38</v>
      </c>
      <c r="C52" t="s">
        <v>60</v>
      </c>
      <c r="D52">
        <v>5.9</v>
      </c>
      <c r="E52">
        <v>62</v>
      </c>
      <c r="G52">
        <f t="shared" si="18"/>
        <v>13.699999999999998</v>
      </c>
      <c r="H52" s="2">
        <f t="shared" si="19"/>
        <v>0.22096774193548382</v>
      </c>
      <c r="J52">
        <f t="shared" si="20"/>
        <v>66</v>
      </c>
      <c r="L52">
        <f t="shared" si="8"/>
        <v>66</v>
      </c>
      <c r="M52">
        <f t="shared" si="9"/>
        <v>16.5</v>
      </c>
      <c r="N52" s="2">
        <f t="shared" si="10"/>
        <v>0.25</v>
      </c>
      <c r="P52">
        <f t="shared" si="11"/>
        <v>65</v>
      </c>
      <c r="Q52">
        <f t="shared" si="12"/>
        <v>66</v>
      </c>
      <c r="R52">
        <f t="shared" si="13"/>
        <v>66</v>
      </c>
      <c r="S52" t="b">
        <f t="shared" si="14"/>
        <v>0</v>
      </c>
      <c r="U52">
        <f t="shared" si="15"/>
        <v>51</v>
      </c>
      <c r="V52">
        <f t="shared" si="16"/>
        <v>12.719999999999997</v>
      </c>
      <c r="W52" s="2">
        <f t="shared" si="17"/>
        <v>0.24941176470588231</v>
      </c>
    </row>
    <row r="53" spans="1:23" x14ac:dyDescent="0.35">
      <c r="A53">
        <v>51</v>
      </c>
      <c r="B53" t="s">
        <v>38</v>
      </c>
      <c r="C53" t="s">
        <v>61</v>
      </c>
      <c r="D53">
        <v>5.7</v>
      </c>
      <c r="E53">
        <v>62</v>
      </c>
      <c r="G53">
        <f t="shared" si="18"/>
        <v>13.899999999999999</v>
      </c>
      <c r="H53" s="2">
        <f t="shared" si="19"/>
        <v>0.22419354838709676</v>
      </c>
      <c r="J53">
        <f t="shared" si="20"/>
        <v>66</v>
      </c>
      <c r="L53">
        <f t="shared" si="8"/>
        <v>66</v>
      </c>
      <c r="M53">
        <f t="shared" si="9"/>
        <v>16.7</v>
      </c>
      <c r="N53" s="2">
        <f t="shared" si="10"/>
        <v>0.25303030303030299</v>
      </c>
      <c r="P53">
        <f t="shared" si="11"/>
        <v>65</v>
      </c>
      <c r="Q53">
        <f t="shared" si="12"/>
        <v>66</v>
      </c>
      <c r="R53">
        <f t="shared" si="13"/>
        <v>66</v>
      </c>
      <c r="S53" t="b">
        <f t="shared" si="14"/>
        <v>0</v>
      </c>
      <c r="U53">
        <f t="shared" si="15"/>
        <v>50</v>
      </c>
      <c r="V53">
        <f t="shared" si="16"/>
        <v>12.5</v>
      </c>
      <c r="W53" s="2">
        <f t="shared" si="17"/>
        <v>0.25</v>
      </c>
    </row>
    <row r="54" spans="1:23" x14ac:dyDescent="0.35">
      <c r="A54">
        <v>52</v>
      </c>
      <c r="B54" t="s">
        <v>38</v>
      </c>
      <c r="C54" t="s">
        <v>62</v>
      </c>
      <c r="D54">
        <v>5.66</v>
      </c>
      <c r="E54">
        <v>62</v>
      </c>
      <c r="G54">
        <f t="shared" si="18"/>
        <v>13.939999999999998</v>
      </c>
      <c r="H54" s="2">
        <f t="shared" si="19"/>
        <v>0.22483870967741931</v>
      </c>
      <c r="J54">
        <f t="shared" si="20"/>
        <v>65</v>
      </c>
      <c r="L54">
        <f t="shared" si="8"/>
        <v>65</v>
      </c>
      <c r="M54">
        <f t="shared" si="9"/>
        <v>16.04</v>
      </c>
      <c r="N54" s="2">
        <f t="shared" si="10"/>
        <v>0.24676923076923077</v>
      </c>
      <c r="P54">
        <f t="shared" si="11"/>
        <v>65</v>
      </c>
      <c r="Q54">
        <f t="shared" si="12"/>
        <v>65</v>
      </c>
      <c r="R54">
        <f t="shared" si="13"/>
        <v>65</v>
      </c>
      <c r="S54" t="b">
        <f t="shared" si="14"/>
        <v>0</v>
      </c>
      <c r="U54">
        <f t="shared" si="15"/>
        <v>50</v>
      </c>
      <c r="V54">
        <f t="shared" si="16"/>
        <v>12.54</v>
      </c>
      <c r="W54" s="2">
        <f t="shared" si="17"/>
        <v>0.25079999999999997</v>
      </c>
    </row>
    <row r="55" spans="1:23" x14ac:dyDescent="0.35">
      <c r="A55">
        <v>53</v>
      </c>
      <c r="B55" t="s">
        <v>38</v>
      </c>
      <c r="C55" t="s">
        <v>63</v>
      </c>
      <c r="D55">
        <v>5.49</v>
      </c>
      <c r="E55">
        <v>62</v>
      </c>
      <c r="G55">
        <f t="shared" si="18"/>
        <v>14.109999999999998</v>
      </c>
      <c r="H55" s="2">
        <f t="shared" si="19"/>
        <v>0.22758064516129028</v>
      </c>
      <c r="J55">
        <f t="shared" si="20"/>
        <v>65</v>
      </c>
      <c r="L55">
        <f t="shared" si="8"/>
        <v>65</v>
      </c>
      <c r="M55">
        <f t="shared" si="9"/>
        <v>16.21</v>
      </c>
      <c r="N55" s="2">
        <f t="shared" si="10"/>
        <v>0.2493846153846154</v>
      </c>
      <c r="P55">
        <f t="shared" si="11"/>
        <v>65</v>
      </c>
      <c r="Q55">
        <f t="shared" si="12"/>
        <v>65</v>
      </c>
      <c r="R55">
        <f t="shared" si="13"/>
        <v>65</v>
      </c>
      <c r="S55" t="b">
        <f t="shared" si="14"/>
        <v>0</v>
      </c>
      <c r="U55">
        <f t="shared" si="15"/>
        <v>49</v>
      </c>
      <c r="V55">
        <f t="shared" si="16"/>
        <v>12.289999999999997</v>
      </c>
      <c r="W55" s="2">
        <f t="shared" si="17"/>
        <v>0.2508163265306122</v>
      </c>
    </row>
    <row r="56" spans="1:23" x14ac:dyDescent="0.35">
      <c r="A56">
        <v>54</v>
      </c>
      <c r="B56" t="s">
        <v>38</v>
      </c>
      <c r="C56" t="s">
        <v>64</v>
      </c>
      <c r="D56">
        <v>5.34</v>
      </c>
      <c r="E56">
        <v>62</v>
      </c>
      <c r="G56">
        <f t="shared" si="18"/>
        <v>14.259999999999998</v>
      </c>
      <c r="H56" s="2">
        <f t="shared" si="19"/>
        <v>0.22999999999999995</v>
      </c>
      <c r="J56">
        <f t="shared" si="20"/>
        <v>65</v>
      </c>
      <c r="L56">
        <f t="shared" si="8"/>
        <v>65</v>
      </c>
      <c r="M56">
        <f t="shared" si="9"/>
        <v>16.36</v>
      </c>
      <c r="N56" s="2">
        <f t="shared" si="10"/>
        <v>0.25169230769230766</v>
      </c>
      <c r="P56">
        <f t="shared" si="11"/>
        <v>65</v>
      </c>
      <c r="Q56">
        <f t="shared" si="12"/>
        <v>65</v>
      </c>
      <c r="R56">
        <f t="shared" si="13"/>
        <v>65</v>
      </c>
      <c r="S56" t="b">
        <f t="shared" si="14"/>
        <v>0</v>
      </c>
      <c r="U56">
        <f t="shared" si="15"/>
        <v>48</v>
      </c>
      <c r="V56">
        <f t="shared" si="16"/>
        <v>12.019999999999996</v>
      </c>
      <c r="W56" s="2">
        <f t="shared" si="17"/>
        <v>0.25041666666666657</v>
      </c>
    </row>
    <row r="57" spans="1:23" x14ac:dyDescent="0.35">
      <c r="A57">
        <v>55</v>
      </c>
      <c r="B57" t="s">
        <v>38</v>
      </c>
      <c r="C57" t="s">
        <v>65</v>
      </c>
      <c r="D57">
        <v>5.47</v>
      </c>
      <c r="E57">
        <v>62</v>
      </c>
      <c r="G57">
        <f t="shared" si="18"/>
        <v>14.129999999999999</v>
      </c>
      <c r="H57" s="2">
        <f t="shared" si="19"/>
        <v>0.22790322580645159</v>
      </c>
      <c r="J57">
        <f t="shared" si="20"/>
        <v>65</v>
      </c>
      <c r="L57">
        <f t="shared" si="8"/>
        <v>65</v>
      </c>
      <c r="M57">
        <f t="shared" si="9"/>
        <v>16.23</v>
      </c>
      <c r="N57" s="2">
        <f t="shared" si="10"/>
        <v>0.24969230769230769</v>
      </c>
      <c r="P57">
        <f t="shared" si="11"/>
        <v>65</v>
      </c>
      <c r="Q57">
        <f t="shared" si="12"/>
        <v>65</v>
      </c>
      <c r="R57">
        <f t="shared" si="13"/>
        <v>65</v>
      </c>
      <c r="S57" t="b">
        <f t="shared" si="14"/>
        <v>0</v>
      </c>
      <c r="U57">
        <f t="shared" si="15"/>
        <v>49</v>
      </c>
      <c r="V57">
        <f t="shared" si="16"/>
        <v>12.309999999999999</v>
      </c>
      <c r="W57" s="2">
        <f t="shared" si="17"/>
        <v>0.25122448979591833</v>
      </c>
    </row>
    <row r="58" spans="1:23" x14ac:dyDescent="0.35">
      <c r="A58">
        <v>56</v>
      </c>
      <c r="B58" t="s">
        <v>38</v>
      </c>
      <c r="C58" t="s">
        <v>66</v>
      </c>
      <c r="D58">
        <v>5.46</v>
      </c>
      <c r="E58">
        <v>62</v>
      </c>
      <c r="G58">
        <f t="shared" si="18"/>
        <v>14.139999999999997</v>
      </c>
      <c r="H58" s="2">
        <f t="shared" si="19"/>
        <v>0.2280645161290322</v>
      </c>
      <c r="J58">
        <f t="shared" si="20"/>
        <v>65</v>
      </c>
      <c r="L58">
        <f t="shared" si="8"/>
        <v>65</v>
      </c>
      <c r="M58">
        <f t="shared" si="9"/>
        <v>16.239999999999998</v>
      </c>
      <c r="N58" s="2">
        <f t="shared" si="10"/>
        <v>0.24984615384615383</v>
      </c>
      <c r="P58">
        <f t="shared" si="11"/>
        <v>65</v>
      </c>
      <c r="Q58">
        <f t="shared" si="12"/>
        <v>65</v>
      </c>
      <c r="R58">
        <f t="shared" si="13"/>
        <v>65</v>
      </c>
      <c r="S58" t="b">
        <f t="shared" si="14"/>
        <v>0</v>
      </c>
      <c r="U58">
        <f t="shared" si="15"/>
        <v>49</v>
      </c>
      <c r="V58">
        <f t="shared" si="16"/>
        <v>12.319999999999997</v>
      </c>
      <c r="W58" s="2">
        <f t="shared" si="17"/>
        <v>0.25142857142857133</v>
      </c>
    </row>
    <row r="59" spans="1:23" x14ac:dyDescent="0.35">
      <c r="A59">
        <v>57</v>
      </c>
      <c r="B59" t="s">
        <v>38</v>
      </c>
      <c r="C59" t="s">
        <v>67</v>
      </c>
      <c r="D59">
        <v>8.59</v>
      </c>
      <c r="E59">
        <v>58</v>
      </c>
      <c r="G59">
        <f t="shared" si="18"/>
        <v>8.91</v>
      </c>
      <c r="H59" s="2">
        <f t="shared" si="19"/>
        <v>0.15362068965517242</v>
      </c>
      <c r="J59">
        <f t="shared" si="20"/>
        <v>72</v>
      </c>
      <c r="L59">
        <f t="shared" si="8"/>
        <v>72</v>
      </c>
      <c r="M59">
        <f t="shared" si="9"/>
        <v>18.009999999999998</v>
      </c>
      <c r="N59" s="2">
        <f t="shared" si="10"/>
        <v>0.25013888888888886</v>
      </c>
      <c r="P59">
        <f t="shared" si="11"/>
        <v>61</v>
      </c>
      <c r="Q59">
        <f t="shared" si="12"/>
        <v>64</v>
      </c>
      <c r="R59">
        <f t="shared" si="13"/>
        <v>67</v>
      </c>
      <c r="S59" t="b">
        <f t="shared" si="14"/>
        <v>0</v>
      </c>
      <c r="U59">
        <f t="shared" si="15"/>
        <v>67</v>
      </c>
      <c r="V59">
        <f t="shared" si="16"/>
        <v>16.75</v>
      </c>
      <c r="W59" s="2">
        <f t="shared" si="17"/>
        <v>0.25</v>
      </c>
    </row>
    <row r="60" spans="1:23" x14ac:dyDescent="0.35">
      <c r="A60">
        <v>58</v>
      </c>
      <c r="B60" t="s">
        <v>38</v>
      </c>
      <c r="C60" t="s">
        <v>68</v>
      </c>
      <c r="D60">
        <v>8.56</v>
      </c>
      <c r="E60">
        <v>58</v>
      </c>
      <c r="G60">
        <f t="shared" si="18"/>
        <v>8.94</v>
      </c>
      <c r="H60" s="2">
        <f t="shared" si="19"/>
        <v>0.15413793103448276</v>
      </c>
      <c r="J60">
        <f t="shared" si="20"/>
        <v>72</v>
      </c>
      <c r="L60">
        <f t="shared" si="8"/>
        <v>72</v>
      </c>
      <c r="M60">
        <f t="shared" si="9"/>
        <v>18.04</v>
      </c>
      <c r="N60" s="2">
        <f t="shared" si="10"/>
        <v>0.25055555555555553</v>
      </c>
      <c r="P60">
        <f t="shared" si="11"/>
        <v>61</v>
      </c>
      <c r="Q60">
        <f t="shared" si="12"/>
        <v>64</v>
      </c>
      <c r="R60">
        <f t="shared" si="13"/>
        <v>67</v>
      </c>
      <c r="S60" t="b">
        <f t="shared" si="14"/>
        <v>0</v>
      </c>
      <c r="U60">
        <f t="shared" si="15"/>
        <v>67</v>
      </c>
      <c r="V60">
        <f t="shared" si="16"/>
        <v>16.78</v>
      </c>
      <c r="W60" s="2">
        <f t="shared" si="17"/>
        <v>0.25044776119402989</v>
      </c>
    </row>
    <row r="61" spans="1:23" x14ac:dyDescent="0.35">
      <c r="A61">
        <v>59</v>
      </c>
      <c r="B61" t="s">
        <v>38</v>
      </c>
      <c r="C61" t="s">
        <v>69</v>
      </c>
      <c r="D61">
        <v>8.2899999999999991</v>
      </c>
      <c r="E61">
        <v>58</v>
      </c>
      <c r="G61">
        <f t="shared" si="18"/>
        <v>9.2100000000000009</v>
      </c>
      <c r="H61" s="2">
        <f t="shared" si="19"/>
        <v>0.15879310344827588</v>
      </c>
      <c r="J61">
        <f t="shared" si="20"/>
        <v>71</v>
      </c>
      <c r="L61">
        <f t="shared" si="8"/>
        <v>71</v>
      </c>
      <c r="M61">
        <f t="shared" si="9"/>
        <v>17.61</v>
      </c>
      <c r="N61" s="2">
        <f t="shared" si="10"/>
        <v>0.2480281690140845</v>
      </c>
      <c r="P61">
        <f t="shared" si="11"/>
        <v>61</v>
      </c>
      <c r="Q61">
        <f t="shared" si="12"/>
        <v>64</v>
      </c>
      <c r="R61">
        <f t="shared" si="13"/>
        <v>67</v>
      </c>
      <c r="S61" t="b">
        <f t="shared" si="14"/>
        <v>0</v>
      </c>
      <c r="U61">
        <f t="shared" si="15"/>
        <v>65</v>
      </c>
      <c r="V61">
        <f t="shared" si="16"/>
        <v>16.21</v>
      </c>
      <c r="W61" s="2">
        <f t="shared" si="17"/>
        <v>0.2493846153846154</v>
      </c>
    </row>
    <row r="62" spans="1:23" x14ac:dyDescent="0.35">
      <c r="A62">
        <v>60</v>
      </c>
      <c r="B62" t="s">
        <v>38</v>
      </c>
      <c r="C62" t="s">
        <v>70</v>
      </c>
      <c r="D62">
        <v>8.49</v>
      </c>
      <c r="E62">
        <v>58</v>
      </c>
      <c r="G62">
        <f t="shared" si="18"/>
        <v>9.01</v>
      </c>
      <c r="H62" s="2">
        <f t="shared" si="19"/>
        <v>0.15534482758620688</v>
      </c>
      <c r="J62">
        <f t="shared" si="20"/>
        <v>72</v>
      </c>
      <c r="L62">
        <f t="shared" si="8"/>
        <v>72</v>
      </c>
      <c r="M62">
        <f t="shared" si="9"/>
        <v>18.11</v>
      </c>
      <c r="N62" s="2">
        <f t="shared" si="10"/>
        <v>0.25152777777777779</v>
      </c>
      <c r="P62">
        <f t="shared" si="11"/>
        <v>61</v>
      </c>
      <c r="Q62">
        <f t="shared" si="12"/>
        <v>64</v>
      </c>
      <c r="R62">
        <f t="shared" si="13"/>
        <v>67</v>
      </c>
      <c r="S62" t="b">
        <f t="shared" si="14"/>
        <v>0</v>
      </c>
      <c r="U62">
        <f t="shared" si="15"/>
        <v>66</v>
      </c>
      <c r="V62">
        <f t="shared" si="16"/>
        <v>16.429999999999993</v>
      </c>
      <c r="W62" s="2">
        <f t="shared" si="17"/>
        <v>0.24893939393939382</v>
      </c>
    </row>
    <row r="63" spans="1:23" x14ac:dyDescent="0.35">
      <c r="A63">
        <v>61</v>
      </c>
      <c r="B63" t="s">
        <v>38</v>
      </c>
      <c r="C63" t="s">
        <v>71</v>
      </c>
      <c r="D63">
        <v>8.83</v>
      </c>
      <c r="E63">
        <v>59</v>
      </c>
      <c r="G63">
        <f t="shared" si="18"/>
        <v>9.0199999999999978</v>
      </c>
      <c r="H63" s="2">
        <f t="shared" si="19"/>
        <v>0.15288135593220334</v>
      </c>
      <c r="J63">
        <f t="shared" si="20"/>
        <v>73</v>
      </c>
      <c r="L63">
        <f t="shared" si="8"/>
        <v>73</v>
      </c>
      <c r="M63">
        <f t="shared" si="9"/>
        <v>18.47</v>
      </c>
      <c r="N63" s="2">
        <f t="shared" si="10"/>
        <v>0.25301369863013695</v>
      </c>
      <c r="P63">
        <f t="shared" si="11"/>
        <v>62</v>
      </c>
      <c r="Q63">
        <f t="shared" si="12"/>
        <v>65</v>
      </c>
      <c r="R63">
        <f t="shared" si="13"/>
        <v>68</v>
      </c>
      <c r="S63" t="b">
        <f t="shared" si="14"/>
        <v>0</v>
      </c>
      <c r="U63">
        <f t="shared" si="15"/>
        <v>68</v>
      </c>
      <c r="V63">
        <f t="shared" si="16"/>
        <v>16.93</v>
      </c>
      <c r="W63" s="2">
        <f t="shared" si="17"/>
        <v>0.24897058823529411</v>
      </c>
    </row>
    <row r="64" spans="1:23" x14ac:dyDescent="0.35">
      <c r="A64">
        <v>62</v>
      </c>
      <c r="B64" t="s">
        <v>38</v>
      </c>
      <c r="C64" t="s">
        <v>72</v>
      </c>
      <c r="D64">
        <v>6.49</v>
      </c>
      <c r="E64">
        <v>46</v>
      </c>
      <c r="G64">
        <f t="shared" si="18"/>
        <v>6.8099999999999987</v>
      </c>
      <c r="H64" s="2">
        <f t="shared" si="19"/>
        <v>0.14804347826086953</v>
      </c>
      <c r="J64">
        <f t="shared" si="20"/>
        <v>67</v>
      </c>
      <c r="L64">
        <f t="shared" si="8"/>
        <v>67</v>
      </c>
      <c r="M64">
        <f t="shared" si="9"/>
        <v>16.61</v>
      </c>
      <c r="N64" s="2">
        <f t="shared" si="10"/>
        <v>0.24791044776119403</v>
      </c>
      <c r="P64">
        <f t="shared" si="11"/>
        <v>49</v>
      </c>
      <c r="Q64">
        <f t="shared" si="12"/>
        <v>52</v>
      </c>
      <c r="R64">
        <f t="shared" si="13"/>
        <v>55</v>
      </c>
      <c r="S64" t="b">
        <f t="shared" si="14"/>
        <v>0</v>
      </c>
      <c r="U64">
        <f t="shared" si="15"/>
        <v>55</v>
      </c>
      <c r="V64">
        <f t="shared" si="16"/>
        <v>13.809999999999997</v>
      </c>
      <c r="W64" s="2">
        <f t="shared" si="17"/>
        <v>0.25109090909090903</v>
      </c>
    </row>
    <row r="65" spans="1:23" x14ac:dyDescent="0.35">
      <c r="A65">
        <v>63</v>
      </c>
      <c r="B65" t="s">
        <v>38</v>
      </c>
      <c r="C65" t="s">
        <v>73</v>
      </c>
      <c r="D65">
        <v>6.46</v>
      </c>
      <c r="E65">
        <v>48</v>
      </c>
      <c r="G65">
        <f t="shared" si="18"/>
        <v>7.54</v>
      </c>
      <c r="H65" s="2">
        <f t="shared" si="19"/>
        <v>0.15708333333333332</v>
      </c>
      <c r="J65">
        <f t="shared" si="20"/>
        <v>67</v>
      </c>
      <c r="L65">
        <f t="shared" si="8"/>
        <v>67</v>
      </c>
      <c r="M65">
        <f t="shared" si="9"/>
        <v>16.639999999999997</v>
      </c>
      <c r="N65" s="2">
        <f t="shared" si="10"/>
        <v>0.24835820895522384</v>
      </c>
      <c r="P65">
        <f t="shared" si="11"/>
        <v>51</v>
      </c>
      <c r="Q65">
        <f t="shared" si="12"/>
        <v>54</v>
      </c>
      <c r="R65">
        <f t="shared" si="13"/>
        <v>57</v>
      </c>
      <c r="S65" t="b">
        <f t="shared" si="14"/>
        <v>0</v>
      </c>
      <c r="U65">
        <f t="shared" si="15"/>
        <v>54</v>
      </c>
      <c r="V65">
        <f t="shared" si="16"/>
        <v>13.419999999999998</v>
      </c>
      <c r="W65" s="2">
        <f t="shared" si="17"/>
        <v>0.24851851851851847</v>
      </c>
    </row>
    <row r="66" spans="1:23" x14ac:dyDescent="0.35">
      <c r="A66">
        <v>64</v>
      </c>
      <c r="B66" t="s">
        <v>38</v>
      </c>
      <c r="C66" t="s">
        <v>74</v>
      </c>
      <c r="D66">
        <v>6.19</v>
      </c>
      <c r="E66">
        <v>48</v>
      </c>
      <c r="G66">
        <f t="shared" si="18"/>
        <v>7.81</v>
      </c>
      <c r="H66" s="2">
        <f t="shared" si="19"/>
        <v>0.16270833333333332</v>
      </c>
      <c r="J66">
        <f t="shared" si="20"/>
        <v>67</v>
      </c>
      <c r="L66">
        <f t="shared" si="8"/>
        <v>67</v>
      </c>
      <c r="M66">
        <f t="shared" si="9"/>
        <v>16.909999999999997</v>
      </c>
      <c r="N66" s="2">
        <f t="shared" si="10"/>
        <v>0.25238805970149247</v>
      </c>
      <c r="P66">
        <f t="shared" si="11"/>
        <v>51</v>
      </c>
      <c r="Q66">
        <f t="shared" si="12"/>
        <v>54</v>
      </c>
      <c r="R66">
        <f t="shared" si="13"/>
        <v>57</v>
      </c>
      <c r="S66" t="b">
        <f t="shared" si="14"/>
        <v>0</v>
      </c>
      <c r="U66">
        <f t="shared" si="15"/>
        <v>53</v>
      </c>
      <c r="V66">
        <f t="shared" si="16"/>
        <v>13.269999999999996</v>
      </c>
      <c r="W66" s="2">
        <f t="shared" si="17"/>
        <v>0.25037735849056597</v>
      </c>
    </row>
    <row r="67" spans="1:23" x14ac:dyDescent="0.35">
      <c r="A67">
        <v>65</v>
      </c>
      <c r="B67" t="s">
        <v>38</v>
      </c>
      <c r="C67" t="s">
        <v>75</v>
      </c>
      <c r="D67">
        <v>6.39</v>
      </c>
      <c r="E67">
        <v>48</v>
      </c>
      <c r="G67">
        <f t="shared" ref="G67:G98" si="21">IFERROR(((E67-MIN(E67/2,30)-4)*0.7)-$D67,0)</f>
        <v>7.61</v>
      </c>
      <c r="H67" s="2">
        <f t="shared" ref="H67:H98" si="22">IFERROR(G67/E67,0)</f>
        <v>0.15854166666666666</v>
      </c>
      <c r="J67">
        <f t="shared" ref="J67:J92" si="23">ROUND(IF(D67&lt;=3.2,28+10*(D67),(23.8+D67)/0.45),0)</f>
        <v>67</v>
      </c>
      <c r="L67">
        <f t="shared" si="8"/>
        <v>67</v>
      </c>
      <c r="M67">
        <f t="shared" si="9"/>
        <v>16.709999999999997</v>
      </c>
      <c r="N67" s="2">
        <f t="shared" si="10"/>
        <v>0.24940298507462683</v>
      </c>
      <c r="P67">
        <f t="shared" si="11"/>
        <v>51</v>
      </c>
      <c r="Q67">
        <f t="shared" si="12"/>
        <v>54</v>
      </c>
      <c r="R67">
        <f t="shared" si="13"/>
        <v>57</v>
      </c>
      <c r="S67" t="b">
        <f t="shared" si="14"/>
        <v>0</v>
      </c>
      <c r="U67">
        <f t="shared" si="15"/>
        <v>54</v>
      </c>
      <c r="V67">
        <f t="shared" si="16"/>
        <v>13.489999999999998</v>
      </c>
      <c r="W67" s="2">
        <f t="shared" si="17"/>
        <v>0.2498148148148148</v>
      </c>
    </row>
    <row r="68" spans="1:23" x14ac:dyDescent="0.35">
      <c r="A68">
        <v>66</v>
      </c>
      <c r="B68" t="s">
        <v>38</v>
      </c>
      <c r="C68" t="s">
        <v>76</v>
      </c>
      <c r="D68">
        <v>6.73</v>
      </c>
      <c r="E68">
        <v>48</v>
      </c>
      <c r="G68">
        <f t="shared" si="21"/>
        <v>7.27</v>
      </c>
      <c r="H68" s="2">
        <f t="shared" si="22"/>
        <v>0.15145833333333333</v>
      </c>
      <c r="J68">
        <f t="shared" si="23"/>
        <v>68</v>
      </c>
      <c r="L68">
        <f t="shared" ref="L68:L131" si="24">MAX(J68,E68)</f>
        <v>68</v>
      </c>
      <c r="M68">
        <f t="shared" ref="M68:M131" si="25">((L68-(MIN(L68/2,30))-4)*0.7)-D68</f>
        <v>17.069999999999997</v>
      </c>
      <c r="N68" s="2">
        <f t="shared" ref="N68:N131" si="26">M68/L68</f>
        <v>0.25102941176470583</v>
      </c>
      <c r="P68">
        <f t="shared" ref="P68:P131" si="27">IF(L68&gt;E68,IF(E68+3&lt;=L68,E68+3,L68),E68)</f>
        <v>51</v>
      </c>
      <c r="Q68">
        <f t="shared" ref="Q68:Q131" si="28">IF(P68&lt;$L68,IF(P68+3&lt;=L68,P68+3,L68),P68)</f>
        <v>54</v>
      </c>
      <c r="R68">
        <f t="shared" ref="R68:R131" si="29">IF(Q68&lt;$L68,IF(Q68+3&gt;L68,L68,Q68+3),L68)</f>
        <v>57</v>
      </c>
      <c r="S68" t="b">
        <f t="shared" ref="S68:S131" si="30">R68&gt;L68</f>
        <v>0</v>
      </c>
      <c r="U68">
        <f t="shared" ref="U68:U131" si="31">ROUND(IF(D68&lt;=9.95,16.47+5.88*(D68),52.89+(2.22*D68)),0)</f>
        <v>56</v>
      </c>
      <c r="V68">
        <f t="shared" ref="V68:V131" si="32">((U68-MIN(U68*0.4,30)-4)*0.7)-D68</f>
        <v>13.989999999999995</v>
      </c>
      <c r="W68" s="2">
        <f t="shared" ref="W68:W131" si="33">V68/U68</f>
        <v>0.24982142857142847</v>
      </c>
    </row>
    <row r="69" spans="1:23" x14ac:dyDescent="0.35">
      <c r="A69">
        <v>67</v>
      </c>
      <c r="B69" t="s">
        <v>77</v>
      </c>
      <c r="C69" t="s">
        <v>78</v>
      </c>
      <c r="D69">
        <v>7.21</v>
      </c>
      <c r="E69">
        <v>64</v>
      </c>
      <c r="G69">
        <f t="shared" si="21"/>
        <v>13.79</v>
      </c>
      <c r="H69" s="2">
        <f t="shared" si="22"/>
        <v>0.21546874999999999</v>
      </c>
      <c r="J69">
        <f t="shared" si="23"/>
        <v>69</v>
      </c>
      <c r="L69">
        <f t="shared" si="24"/>
        <v>69</v>
      </c>
      <c r="M69">
        <f t="shared" si="25"/>
        <v>17.29</v>
      </c>
      <c r="N69" s="2">
        <f t="shared" si="26"/>
        <v>0.25057971014492753</v>
      </c>
      <c r="P69">
        <f t="shared" si="27"/>
        <v>67</v>
      </c>
      <c r="Q69">
        <f t="shared" si="28"/>
        <v>69</v>
      </c>
      <c r="R69">
        <f t="shared" si="29"/>
        <v>69</v>
      </c>
      <c r="S69" t="b">
        <f t="shared" si="30"/>
        <v>0</v>
      </c>
      <c r="U69">
        <f t="shared" si="31"/>
        <v>59</v>
      </c>
      <c r="V69">
        <f t="shared" si="32"/>
        <v>14.769999999999996</v>
      </c>
      <c r="W69" s="2">
        <f t="shared" si="33"/>
        <v>0.2503389830508474</v>
      </c>
    </row>
    <row r="70" spans="1:23" x14ac:dyDescent="0.35">
      <c r="A70">
        <v>68</v>
      </c>
      <c r="B70" t="s">
        <v>77</v>
      </c>
      <c r="C70" t="s">
        <v>79</v>
      </c>
      <c r="D70">
        <v>7.94</v>
      </c>
      <c r="E70">
        <v>62</v>
      </c>
      <c r="G70">
        <f t="shared" si="21"/>
        <v>11.659999999999997</v>
      </c>
      <c r="H70" s="2">
        <f t="shared" si="22"/>
        <v>0.18806451612903222</v>
      </c>
      <c r="J70">
        <f t="shared" si="23"/>
        <v>71</v>
      </c>
      <c r="L70">
        <f t="shared" si="24"/>
        <v>71</v>
      </c>
      <c r="M70">
        <f t="shared" si="25"/>
        <v>17.959999999999997</v>
      </c>
      <c r="N70" s="2">
        <f t="shared" si="26"/>
        <v>0.2529577464788732</v>
      </c>
      <c r="P70">
        <f t="shared" si="27"/>
        <v>65</v>
      </c>
      <c r="Q70">
        <f t="shared" si="28"/>
        <v>68</v>
      </c>
      <c r="R70">
        <f t="shared" si="29"/>
        <v>71</v>
      </c>
      <c r="S70" t="b">
        <f t="shared" si="30"/>
        <v>0</v>
      </c>
      <c r="U70">
        <f t="shared" si="31"/>
        <v>63</v>
      </c>
      <c r="V70">
        <f t="shared" si="32"/>
        <v>15.719999999999995</v>
      </c>
      <c r="W70" s="2">
        <f t="shared" si="33"/>
        <v>0.24952380952380945</v>
      </c>
    </row>
    <row r="71" spans="1:23" x14ac:dyDescent="0.35">
      <c r="A71">
        <v>69</v>
      </c>
      <c r="B71" t="s">
        <v>77</v>
      </c>
      <c r="C71" t="s">
        <v>80</v>
      </c>
      <c r="D71">
        <v>8.15</v>
      </c>
      <c r="E71">
        <v>62</v>
      </c>
      <c r="G71">
        <f t="shared" si="21"/>
        <v>11.449999999999998</v>
      </c>
      <c r="H71" s="2">
        <f t="shared" si="22"/>
        <v>0.18467741935483867</v>
      </c>
      <c r="J71">
        <f t="shared" si="23"/>
        <v>71</v>
      </c>
      <c r="L71">
        <f t="shared" si="24"/>
        <v>71</v>
      </c>
      <c r="M71">
        <f t="shared" si="25"/>
        <v>17.75</v>
      </c>
      <c r="N71" s="2">
        <f t="shared" si="26"/>
        <v>0.25</v>
      </c>
      <c r="P71">
        <f t="shared" si="27"/>
        <v>65</v>
      </c>
      <c r="Q71">
        <f t="shared" si="28"/>
        <v>68</v>
      </c>
      <c r="R71">
        <f t="shared" si="29"/>
        <v>71</v>
      </c>
      <c r="S71" t="b">
        <f t="shared" si="30"/>
        <v>0</v>
      </c>
      <c r="U71">
        <f t="shared" si="31"/>
        <v>64</v>
      </c>
      <c r="V71">
        <f t="shared" si="32"/>
        <v>15.929999999999998</v>
      </c>
      <c r="W71" s="2">
        <f t="shared" si="33"/>
        <v>0.24890624999999997</v>
      </c>
    </row>
    <row r="72" spans="1:23" x14ac:dyDescent="0.35">
      <c r="A72">
        <v>70</v>
      </c>
      <c r="B72" t="s">
        <v>77</v>
      </c>
      <c r="C72" t="s">
        <v>81</v>
      </c>
      <c r="D72">
        <v>8.23</v>
      </c>
      <c r="E72">
        <v>62</v>
      </c>
      <c r="G72">
        <f t="shared" si="21"/>
        <v>11.369999999999997</v>
      </c>
      <c r="H72" s="2">
        <f t="shared" si="22"/>
        <v>0.18338709677419351</v>
      </c>
      <c r="J72">
        <f t="shared" si="23"/>
        <v>71</v>
      </c>
      <c r="L72">
        <f t="shared" si="24"/>
        <v>71</v>
      </c>
      <c r="M72">
        <f t="shared" si="25"/>
        <v>17.669999999999998</v>
      </c>
      <c r="N72" s="2">
        <f t="shared" si="26"/>
        <v>0.24887323943661968</v>
      </c>
      <c r="P72">
        <f t="shared" si="27"/>
        <v>65</v>
      </c>
      <c r="Q72">
        <f t="shared" si="28"/>
        <v>68</v>
      </c>
      <c r="R72">
        <f t="shared" si="29"/>
        <v>71</v>
      </c>
      <c r="S72" t="b">
        <f t="shared" si="30"/>
        <v>0</v>
      </c>
      <c r="U72">
        <f t="shared" si="31"/>
        <v>65</v>
      </c>
      <c r="V72">
        <f t="shared" si="32"/>
        <v>16.27</v>
      </c>
      <c r="W72" s="2">
        <f t="shared" si="33"/>
        <v>0.25030769230769229</v>
      </c>
    </row>
    <row r="73" spans="1:23" x14ac:dyDescent="0.35">
      <c r="A73">
        <v>71</v>
      </c>
      <c r="B73" t="s">
        <v>77</v>
      </c>
      <c r="C73" t="s">
        <v>82</v>
      </c>
      <c r="D73">
        <v>7.65</v>
      </c>
      <c r="E73">
        <v>63</v>
      </c>
      <c r="G73">
        <f t="shared" si="21"/>
        <v>12.649999999999997</v>
      </c>
      <c r="H73" s="2">
        <f t="shared" si="22"/>
        <v>0.20079365079365075</v>
      </c>
      <c r="J73">
        <f t="shared" si="23"/>
        <v>70</v>
      </c>
      <c r="L73">
        <f t="shared" si="24"/>
        <v>70</v>
      </c>
      <c r="M73">
        <f t="shared" si="25"/>
        <v>17.549999999999997</v>
      </c>
      <c r="N73" s="2">
        <f t="shared" si="26"/>
        <v>0.25071428571428567</v>
      </c>
      <c r="P73">
        <f t="shared" si="27"/>
        <v>66</v>
      </c>
      <c r="Q73">
        <f t="shared" si="28"/>
        <v>69</v>
      </c>
      <c r="R73">
        <f t="shared" si="29"/>
        <v>70</v>
      </c>
      <c r="S73" t="b">
        <f t="shared" si="30"/>
        <v>0</v>
      </c>
      <c r="U73">
        <f t="shared" si="31"/>
        <v>61</v>
      </c>
      <c r="V73">
        <f t="shared" si="32"/>
        <v>15.169999999999993</v>
      </c>
      <c r="W73" s="2">
        <f t="shared" si="33"/>
        <v>0.24868852459016383</v>
      </c>
    </row>
    <row r="74" spans="1:23" x14ac:dyDescent="0.35">
      <c r="A74">
        <v>72</v>
      </c>
      <c r="B74" t="s">
        <v>77</v>
      </c>
      <c r="C74" t="s">
        <v>83</v>
      </c>
      <c r="D74">
        <v>8.73</v>
      </c>
      <c r="E74">
        <v>62</v>
      </c>
      <c r="G74">
        <f t="shared" si="21"/>
        <v>10.869999999999997</v>
      </c>
      <c r="H74" s="2">
        <f t="shared" si="22"/>
        <v>0.17532258064516124</v>
      </c>
      <c r="J74">
        <f t="shared" si="23"/>
        <v>72</v>
      </c>
      <c r="L74">
        <f t="shared" si="24"/>
        <v>72</v>
      </c>
      <c r="M74">
        <f t="shared" si="25"/>
        <v>17.869999999999997</v>
      </c>
      <c r="N74" s="2">
        <f t="shared" si="26"/>
        <v>0.24819444444444441</v>
      </c>
      <c r="P74">
        <f t="shared" si="27"/>
        <v>65</v>
      </c>
      <c r="Q74">
        <f t="shared" si="28"/>
        <v>68</v>
      </c>
      <c r="R74">
        <f t="shared" si="29"/>
        <v>71</v>
      </c>
      <c r="S74" t="b">
        <f t="shared" si="30"/>
        <v>0</v>
      </c>
      <c r="U74">
        <f t="shared" si="31"/>
        <v>68</v>
      </c>
      <c r="V74">
        <f t="shared" si="32"/>
        <v>17.029999999999998</v>
      </c>
      <c r="W74" s="2">
        <f t="shared" si="33"/>
        <v>0.25044117647058822</v>
      </c>
    </row>
    <row r="75" spans="1:23" x14ac:dyDescent="0.35">
      <c r="A75">
        <v>73</v>
      </c>
      <c r="B75" t="s">
        <v>77</v>
      </c>
      <c r="C75" t="s">
        <v>84</v>
      </c>
      <c r="D75">
        <v>8.3699999999999992</v>
      </c>
      <c r="E75">
        <v>62</v>
      </c>
      <c r="G75">
        <f t="shared" si="21"/>
        <v>11.229999999999999</v>
      </c>
      <c r="H75" s="2">
        <f t="shared" si="22"/>
        <v>0.18112903225806448</v>
      </c>
      <c r="J75">
        <f t="shared" si="23"/>
        <v>71</v>
      </c>
      <c r="L75">
        <f t="shared" si="24"/>
        <v>71</v>
      </c>
      <c r="M75">
        <f t="shared" si="25"/>
        <v>17.53</v>
      </c>
      <c r="N75" s="2">
        <f t="shared" si="26"/>
        <v>0.24690140845070424</v>
      </c>
      <c r="P75">
        <f t="shared" si="27"/>
        <v>65</v>
      </c>
      <c r="Q75">
        <f t="shared" si="28"/>
        <v>68</v>
      </c>
      <c r="R75">
        <f t="shared" si="29"/>
        <v>71</v>
      </c>
      <c r="S75" t="b">
        <f t="shared" si="30"/>
        <v>0</v>
      </c>
      <c r="U75">
        <f t="shared" si="31"/>
        <v>66</v>
      </c>
      <c r="V75">
        <f t="shared" si="32"/>
        <v>16.549999999999997</v>
      </c>
      <c r="W75" s="2">
        <f t="shared" si="33"/>
        <v>0.25075757575757573</v>
      </c>
    </row>
    <row r="76" spans="1:23" x14ac:dyDescent="0.35">
      <c r="A76">
        <v>74</v>
      </c>
      <c r="B76" t="s">
        <v>77</v>
      </c>
      <c r="C76" t="s">
        <v>85</v>
      </c>
      <c r="D76">
        <v>8.02</v>
      </c>
      <c r="E76">
        <v>61</v>
      </c>
      <c r="G76">
        <f t="shared" si="21"/>
        <v>10.879999999999999</v>
      </c>
      <c r="H76" s="2">
        <f t="shared" si="22"/>
        <v>0.1783606557377049</v>
      </c>
      <c r="J76">
        <f t="shared" si="23"/>
        <v>71</v>
      </c>
      <c r="L76">
        <f t="shared" si="24"/>
        <v>71</v>
      </c>
      <c r="M76">
        <f t="shared" si="25"/>
        <v>17.88</v>
      </c>
      <c r="N76" s="2">
        <f t="shared" si="26"/>
        <v>0.25183098591549297</v>
      </c>
      <c r="P76">
        <f t="shared" si="27"/>
        <v>64</v>
      </c>
      <c r="Q76">
        <f t="shared" si="28"/>
        <v>67</v>
      </c>
      <c r="R76">
        <f t="shared" si="29"/>
        <v>70</v>
      </c>
      <c r="S76" t="b">
        <f t="shared" si="30"/>
        <v>0</v>
      </c>
      <c r="U76">
        <f t="shared" si="31"/>
        <v>64</v>
      </c>
      <c r="V76">
        <f t="shared" si="32"/>
        <v>16.059999999999999</v>
      </c>
      <c r="W76" s="2">
        <f t="shared" si="33"/>
        <v>0.25093749999999998</v>
      </c>
    </row>
    <row r="77" spans="1:23" x14ac:dyDescent="0.35">
      <c r="A77">
        <v>75</v>
      </c>
      <c r="B77" t="s">
        <v>77</v>
      </c>
      <c r="C77" t="s">
        <v>86</v>
      </c>
      <c r="D77">
        <v>8.09</v>
      </c>
      <c r="E77">
        <v>61</v>
      </c>
      <c r="G77">
        <f t="shared" si="21"/>
        <v>10.809999999999999</v>
      </c>
      <c r="H77" s="2">
        <f t="shared" si="22"/>
        <v>0.17721311475409834</v>
      </c>
      <c r="J77">
        <f t="shared" si="23"/>
        <v>71</v>
      </c>
      <c r="L77">
        <f t="shared" si="24"/>
        <v>71</v>
      </c>
      <c r="M77">
        <f t="shared" si="25"/>
        <v>17.809999999999999</v>
      </c>
      <c r="N77" s="2">
        <f t="shared" si="26"/>
        <v>0.25084507042253518</v>
      </c>
      <c r="P77">
        <f t="shared" si="27"/>
        <v>64</v>
      </c>
      <c r="Q77">
        <f t="shared" si="28"/>
        <v>67</v>
      </c>
      <c r="R77">
        <f t="shared" si="29"/>
        <v>70</v>
      </c>
      <c r="S77" t="b">
        <f t="shared" si="30"/>
        <v>0</v>
      </c>
      <c r="U77">
        <f t="shared" si="31"/>
        <v>64</v>
      </c>
      <c r="V77">
        <f t="shared" si="32"/>
        <v>15.989999999999998</v>
      </c>
      <c r="W77" s="2">
        <f t="shared" si="33"/>
        <v>0.24984374999999998</v>
      </c>
    </row>
    <row r="78" spans="1:23" x14ac:dyDescent="0.35">
      <c r="A78">
        <v>76</v>
      </c>
      <c r="B78" t="s">
        <v>77</v>
      </c>
      <c r="C78" t="s">
        <v>87</v>
      </c>
      <c r="D78">
        <v>8.1199999999999992</v>
      </c>
      <c r="E78">
        <v>49</v>
      </c>
      <c r="G78">
        <f t="shared" si="21"/>
        <v>6.23</v>
      </c>
      <c r="H78" s="2">
        <f t="shared" si="22"/>
        <v>0.12714285714285714</v>
      </c>
      <c r="J78">
        <f t="shared" si="23"/>
        <v>71</v>
      </c>
      <c r="L78">
        <f t="shared" si="24"/>
        <v>71</v>
      </c>
      <c r="M78">
        <f t="shared" si="25"/>
        <v>17.78</v>
      </c>
      <c r="N78" s="2">
        <f t="shared" si="26"/>
        <v>0.25042253521126762</v>
      </c>
      <c r="P78">
        <f t="shared" si="27"/>
        <v>52</v>
      </c>
      <c r="Q78">
        <f t="shared" si="28"/>
        <v>55</v>
      </c>
      <c r="R78">
        <f t="shared" si="29"/>
        <v>58</v>
      </c>
      <c r="S78" t="b">
        <f t="shared" si="30"/>
        <v>0</v>
      </c>
      <c r="U78">
        <f t="shared" si="31"/>
        <v>64</v>
      </c>
      <c r="V78">
        <f t="shared" si="32"/>
        <v>15.959999999999999</v>
      </c>
      <c r="W78" s="2">
        <f t="shared" si="33"/>
        <v>0.24937499999999999</v>
      </c>
    </row>
    <row r="79" spans="1:23" x14ac:dyDescent="0.35">
      <c r="A79">
        <v>77</v>
      </c>
      <c r="B79" t="s">
        <v>77</v>
      </c>
      <c r="C79" t="s">
        <v>88</v>
      </c>
      <c r="D79">
        <v>8.5</v>
      </c>
      <c r="E79">
        <v>54</v>
      </c>
      <c r="G79">
        <f t="shared" si="21"/>
        <v>7.5999999999999979</v>
      </c>
      <c r="H79" s="2">
        <f t="shared" si="22"/>
        <v>0.14074074074074069</v>
      </c>
      <c r="J79">
        <f t="shared" si="23"/>
        <v>72</v>
      </c>
      <c r="L79">
        <f t="shared" si="24"/>
        <v>72</v>
      </c>
      <c r="M79">
        <f t="shared" si="25"/>
        <v>18.099999999999998</v>
      </c>
      <c r="N79" s="2">
        <f t="shared" si="26"/>
        <v>0.25138888888888888</v>
      </c>
      <c r="P79">
        <f t="shared" si="27"/>
        <v>57</v>
      </c>
      <c r="Q79">
        <f t="shared" si="28"/>
        <v>60</v>
      </c>
      <c r="R79">
        <f t="shared" si="29"/>
        <v>63</v>
      </c>
      <c r="S79" t="b">
        <f t="shared" si="30"/>
        <v>0</v>
      </c>
      <c r="U79">
        <f t="shared" si="31"/>
        <v>66</v>
      </c>
      <c r="V79">
        <f t="shared" si="32"/>
        <v>16.419999999999995</v>
      </c>
      <c r="W79" s="2">
        <f t="shared" si="33"/>
        <v>0.2487878787878787</v>
      </c>
    </row>
    <row r="80" spans="1:23" x14ac:dyDescent="0.35">
      <c r="A80">
        <v>78</v>
      </c>
      <c r="B80" t="s">
        <v>77</v>
      </c>
      <c r="C80" t="s">
        <v>89</v>
      </c>
      <c r="D80">
        <v>9.0399999999999991</v>
      </c>
      <c r="E80">
        <v>52</v>
      </c>
      <c r="G80">
        <f t="shared" si="21"/>
        <v>6.3599999999999994</v>
      </c>
      <c r="H80" s="2">
        <f t="shared" si="22"/>
        <v>0.1223076923076923</v>
      </c>
      <c r="J80">
        <f t="shared" si="23"/>
        <v>73</v>
      </c>
      <c r="L80">
        <f t="shared" si="24"/>
        <v>73</v>
      </c>
      <c r="M80">
        <f t="shared" si="25"/>
        <v>18.259999999999998</v>
      </c>
      <c r="N80" s="2">
        <f t="shared" si="26"/>
        <v>0.25013698630136982</v>
      </c>
      <c r="P80">
        <f t="shared" si="27"/>
        <v>55</v>
      </c>
      <c r="Q80">
        <f t="shared" si="28"/>
        <v>58</v>
      </c>
      <c r="R80">
        <f t="shared" si="29"/>
        <v>61</v>
      </c>
      <c r="S80" t="b">
        <f t="shared" si="30"/>
        <v>0</v>
      </c>
      <c r="U80">
        <f t="shared" si="31"/>
        <v>70</v>
      </c>
      <c r="V80">
        <f t="shared" si="32"/>
        <v>17.559999999999999</v>
      </c>
      <c r="W80" s="2">
        <f t="shared" si="33"/>
        <v>0.25085714285714283</v>
      </c>
    </row>
    <row r="81" spans="1:23" x14ac:dyDescent="0.35">
      <c r="A81">
        <v>79</v>
      </c>
      <c r="B81" t="s">
        <v>77</v>
      </c>
      <c r="C81" t="s">
        <v>90</v>
      </c>
      <c r="D81">
        <v>9.11</v>
      </c>
      <c r="E81">
        <v>52</v>
      </c>
      <c r="G81">
        <f t="shared" si="21"/>
        <v>6.2899999999999991</v>
      </c>
      <c r="H81" s="2">
        <f t="shared" si="22"/>
        <v>0.12096153846153844</v>
      </c>
      <c r="J81">
        <f t="shared" si="23"/>
        <v>73</v>
      </c>
      <c r="L81">
        <f t="shared" si="24"/>
        <v>73</v>
      </c>
      <c r="M81">
        <f t="shared" si="25"/>
        <v>18.189999999999998</v>
      </c>
      <c r="N81" s="2">
        <f t="shared" si="26"/>
        <v>0.24917808219178078</v>
      </c>
      <c r="P81">
        <f t="shared" si="27"/>
        <v>55</v>
      </c>
      <c r="Q81">
        <f t="shared" si="28"/>
        <v>58</v>
      </c>
      <c r="R81">
        <f t="shared" si="29"/>
        <v>61</v>
      </c>
      <c r="S81" t="b">
        <f t="shared" si="30"/>
        <v>0</v>
      </c>
      <c r="U81">
        <f t="shared" si="31"/>
        <v>70</v>
      </c>
      <c r="V81">
        <f t="shared" si="32"/>
        <v>17.489999999999998</v>
      </c>
      <c r="W81" s="2">
        <f t="shared" si="33"/>
        <v>0.24985714285714283</v>
      </c>
    </row>
    <row r="82" spans="1:23" x14ac:dyDescent="0.35">
      <c r="A82">
        <v>80</v>
      </c>
      <c r="B82" t="s">
        <v>77</v>
      </c>
      <c r="C82" t="s">
        <v>91</v>
      </c>
      <c r="D82">
        <v>8.56</v>
      </c>
      <c r="E82">
        <v>52</v>
      </c>
      <c r="G82">
        <f t="shared" si="21"/>
        <v>6.8399999999999981</v>
      </c>
      <c r="H82" s="2">
        <f t="shared" si="22"/>
        <v>0.13153846153846149</v>
      </c>
      <c r="J82">
        <f t="shared" si="23"/>
        <v>72</v>
      </c>
      <c r="L82">
        <f t="shared" si="24"/>
        <v>72</v>
      </c>
      <c r="M82">
        <f t="shared" si="25"/>
        <v>18.04</v>
      </c>
      <c r="N82" s="2">
        <f t="shared" si="26"/>
        <v>0.25055555555555553</v>
      </c>
      <c r="P82">
        <f t="shared" si="27"/>
        <v>55</v>
      </c>
      <c r="Q82">
        <f t="shared" si="28"/>
        <v>58</v>
      </c>
      <c r="R82">
        <f t="shared" si="29"/>
        <v>61</v>
      </c>
      <c r="S82" t="b">
        <f t="shared" si="30"/>
        <v>0</v>
      </c>
      <c r="U82">
        <f t="shared" si="31"/>
        <v>67</v>
      </c>
      <c r="V82">
        <f t="shared" si="32"/>
        <v>16.78</v>
      </c>
      <c r="W82" s="2">
        <f t="shared" si="33"/>
        <v>0.25044776119402989</v>
      </c>
    </row>
    <row r="83" spans="1:23" x14ac:dyDescent="0.35">
      <c r="A83">
        <v>81</v>
      </c>
      <c r="B83" t="s">
        <v>77</v>
      </c>
      <c r="C83" t="s">
        <v>92</v>
      </c>
      <c r="D83">
        <v>9.6199999999999992</v>
      </c>
      <c r="E83">
        <v>52</v>
      </c>
      <c r="G83">
        <f t="shared" si="21"/>
        <v>5.7799999999999994</v>
      </c>
      <c r="H83" s="2">
        <f t="shared" si="22"/>
        <v>0.11115384615384614</v>
      </c>
      <c r="J83">
        <f t="shared" si="23"/>
        <v>74</v>
      </c>
      <c r="L83">
        <f t="shared" si="24"/>
        <v>74</v>
      </c>
      <c r="M83">
        <f t="shared" si="25"/>
        <v>18.380000000000003</v>
      </c>
      <c r="N83" s="2">
        <f t="shared" si="26"/>
        <v>0.24837837837837842</v>
      </c>
      <c r="P83">
        <f t="shared" si="27"/>
        <v>55</v>
      </c>
      <c r="Q83">
        <f t="shared" si="28"/>
        <v>58</v>
      </c>
      <c r="R83">
        <f t="shared" si="29"/>
        <v>61</v>
      </c>
      <c r="S83" t="b">
        <f t="shared" si="30"/>
        <v>0</v>
      </c>
      <c r="U83">
        <f t="shared" si="31"/>
        <v>73</v>
      </c>
      <c r="V83">
        <f t="shared" si="32"/>
        <v>18.239999999999995</v>
      </c>
      <c r="W83" s="2">
        <f t="shared" si="33"/>
        <v>0.24986301369863007</v>
      </c>
    </row>
    <row r="84" spans="1:23" x14ac:dyDescent="0.35">
      <c r="A84">
        <v>82</v>
      </c>
      <c r="B84" t="s">
        <v>77</v>
      </c>
      <c r="C84" t="s">
        <v>93</v>
      </c>
      <c r="D84">
        <v>9.09</v>
      </c>
      <c r="E84">
        <v>52</v>
      </c>
      <c r="G84">
        <f t="shared" si="21"/>
        <v>6.3099999999999987</v>
      </c>
      <c r="H84" s="2">
        <f t="shared" si="22"/>
        <v>0.12134615384615383</v>
      </c>
      <c r="J84">
        <f t="shared" si="23"/>
        <v>73</v>
      </c>
      <c r="L84">
        <f t="shared" si="24"/>
        <v>73</v>
      </c>
      <c r="M84">
        <f t="shared" si="25"/>
        <v>18.209999999999997</v>
      </c>
      <c r="N84" s="2">
        <f t="shared" si="26"/>
        <v>0.24945205479452051</v>
      </c>
      <c r="P84">
        <f t="shared" si="27"/>
        <v>55</v>
      </c>
      <c r="Q84">
        <f t="shared" si="28"/>
        <v>58</v>
      </c>
      <c r="R84">
        <f t="shared" si="29"/>
        <v>61</v>
      </c>
      <c r="S84" t="b">
        <f t="shared" si="30"/>
        <v>0</v>
      </c>
      <c r="U84">
        <f t="shared" si="31"/>
        <v>70</v>
      </c>
      <c r="V84">
        <f t="shared" si="32"/>
        <v>17.509999999999998</v>
      </c>
      <c r="W84" s="2">
        <f t="shared" si="33"/>
        <v>0.25014285714285711</v>
      </c>
    </row>
    <row r="85" spans="1:23" x14ac:dyDescent="0.35">
      <c r="A85">
        <v>83</v>
      </c>
      <c r="B85" t="s">
        <v>77</v>
      </c>
      <c r="C85" t="s">
        <v>94</v>
      </c>
      <c r="D85">
        <v>8.9</v>
      </c>
      <c r="E85">
        <v>51</v>
      </c>
      <c r="G85">
        <f t="shared" si="21"/>
        <v>6.1499999999999986</v>
      </c>
      <c r="H85" s="2">
        <f t="shared" si="22"/>
        <v>0.12058823529411762</v>
      </c>
      <c r="J85">
        <f t="shared" si="23"/>
        <v>73</v>
      </c>
      <c r="L85">
        <f t="shared" si="24"/>
        <v>73</v>
      </c>
      <c r="M85">
        <f t="shared" si="25"/>
        <v>18.399999999999999</v>
      </c>
      <c r="N85" s="2">
        <f t="shared" si="26"/>
        <v>0.25205479452054791</v>
      </c>
      <c r="P85">
        <f t="shared" si="27"/>
        <v>54</v>
      </c>
      <c r="Q85">
        <f t="shared" si="28"/>
        <v>57</v>
      </c>
      <c r="R85">
        <f t="shared" si="29"/>
        <v>60</v>
      </c>
      <c r="S85" t="b">
        <f t="shared" si="30"/>
        <v>0</v>
      </c>
      <c r="U85">
        <f t="shared" si="31"/>
        <v>69</v>
      </c>
      <c r="V85">
        <f t="shared" si="32"/>
        <v>17.279999999999994</v>
      </c>
      <c r="W85" s="2">
        <f t="shared" si="33"/>
        <v>0.25043478260869556</v>
      </c>
    </row>
    <row r="86" spans="1:23" x14ac:dyDescent="0.35">
      <c r="A86">
        <v>84</v>
      </c>
      <c r="B86" t="s">
        <v>77</v>
      </c>
      <c r="C86" t="s">
        <v>95</v>
      </c>
      <c r="D86">
        <v>9</v>
      </c>
      <c r="E86">
        <v>51</v>
      </c>
      <c r="G86">
        <f t="shared" si="21"/>
        <v>6.0499999999999989</v>
      </c>
      <c r="H86" s="2">
        <f t="shared" si="22"/>
        <v>0.11862745098039214</v>
      </c>
      <c r="J86">
        <f t="shared" si="23"/>
        <v>73</v>
      </c>
      <c r="L86">
        <f t="shared" si="24"/>
        <v>73</v>
      </c>
      <c r="M86">
        <f t="shared" si="25"/>
        <v>18.299999999999997</v>
      </c>
      <c r="N86" s="2">
        <f t="shared" si="26"/>
        <v>0.25068493150684928</v>
      </c>
      <c r="P86">
        <f t="shared" si="27"/>
        <v>54</v>
      </c>
      <c r="Q86">
        <f t="shared" si="28"/>
        <v>57</v>
      </c>
      <c r="R86">
        <f t="shared" si="29"/>
        <v>60</v>
      </c>
      <c r="S86" t="b">
        <f t="shared" si="30"/>
        <v>0</v>
      </c>
      <c r="U86">
        <f t="shared" si="31"/>
        <v>69</v>
      </c>
      <c r="V86">
        <f t="shared" si="32"/>
        <v>17.179999999999996</v>
      </c>
      <c r="W86" s="2">
        <f t="shared" si="33"/>
        <v>0.24898550724637675</v>
      </c>
    </row>
    <row r="87" spans="1:23" x14ac:dyDescent="0.35">
      <c r="A87">
        <v>85</v>
      </c>
      <c r="B87" t="s">
        <v>77</v>
      </c>
      <c r="C87" t="s">
        <v>96</v>
      </c>
      <c r="D87">
        <v>7.3</v>
      </c>
      <c r="E87">
        <v>62</v>
      </c>
      <c r="G87">
        <f t="shared" si="21"/>
        <v>12.299999999999997</v>
      </c>
      <c r="H87" s="2">
        <f t="shared" si="22"/>
        <v>0.1983870967741935</v>
      </c>
      <c r="J87">
        <f t="shared" si="23"/>
        <v>69</v>
      </c>
      <c r="L87">
        <f t="shared" si="24"/>
        <v>69</v>
      </c>
      <c r="M87">
        <f t="shared" si="25"/>
        <v>17.2</v>
      </c>
      <c r="N87" s="2">
        <f t="shared" si="26"/>
        <v>0.24927536231884057</v>
      </c>
      <c r="P87">
        <f t="shared" si="27"/>
        <v>65</v>
      </c>
      <c r="Q87">
        <f t="shared" si="28"/>
        <v>68</v>
      </c>
      <c r="R87">
        <f t="shared" si="29"/>
        <v>69</v>
      </c>
      <c r="S87" t="b">
        <f t="shared" si="30"/>
        <v>0</v>
      </c>
      <c r="U87">
        <f t="shared" si="31"/>
        <v>59</v>
      </c>
      <c r="V87">
        <f t="shared" si="32"/>
        <v>14.679999999999996</v>
      </c>
      <c r="W87" s="2">
        <f t="shared" si="33"/>
        <v>0.24881355932203383</v>
      </c>
    </row>
    <row r="88" spans="1:23" x14ac:dyDescent="0.35">
      <c r="A88">
        <v>86</v>
      </c>
      <c r="B88" t="s">
        <v>77</v>
      </c>
      <c r="C88" t="s">
        <v>97</v>
      </c>
      <c r="D88">
        <v>7.55</v>
      </c>
      <c r="E88">
        <v>55</v>
      </c>
      <c r="G88">
        <f t="shared" si="21"/>
        <v>8.8999999999999986</v>
      </c>
      <c r="H88" s="2">
        <f t="shared" si="22"/>
        <v>0.16181818181818181</v>
      </c>
      <c r="J88">
        <f t="shared" si="23"/>
        <v>70</v>
      </c>
      <c r="L88">
        <f t="shared" si="24"/>
        <v>70</v>
      </c>
      <c r="M88">
        <f t="shared" si="25"/>
        <v>17.649999999999999</v>
      </c>
      <c r="N88" s="2">
        <f t="shared" si="26"/>
        <v>0.25214285714285711</v>
      </c>
      <c r="P88">
        <f t="shared" si="27"/>
        <v>58</v>
      </c>
      <c r="Q88">
        <f t="shared" si="28"/>
        <v>61</v>
      </c>
      <c r="R88">
        <f t="shared" si="29"/>
        <v>64</v>
      </c>
      <c r="S88" t="b">
        <f t="shared" si="30"/>
        <v>0</v>
      </c>
      <c r="U88">
        <f t="shared" si="31"/>
        <v>61</v>
      </c>
      <c r="V88">
        <f t="shared" si="32"/>
        <v>15.269999999999992</v>
      </c>
      <c r="W88" s="2">
        <f t="shared" si="33"/>
        <v>0.25032786885245889</v>
      </c>
    </row>
    <row r="89" spans="1:23" x14ac:dyDescent="0.35">
      <c r="A89">
        <v>87</v>
      </c>
      <c r="B89" t="s">
        <v>77</v>
      </c>
      <c r="C89" t="s">
        <v>98</v>
      </c>
      <c r="D89">
        <v>7.3</v>
      </c>
      <c r="E89">
        <v>57</v>
      </c>
      <c r="G89">
        <f t="shared" si="21"/>
        <v>9.8499999999999979</v>
      </c>
      <c r="H89" s="2">
        <f t="shared" si="22"/>
        <v>0.1728070175438596</v>
      </c>
      <c r="J89">
        <f t="shared" si="23"/>
        <v>69</v>
      </c>
      <c r="L89">
        <f t="shared" si="24"/>
        <v>69</v>
      </c>
      <c r="M89">
        <f t="shared" si="25"/>
        <v>17.2</v>
      </c>
      <c r="N89" s="2">
        <f t="shared" si="26"/>
        <v>0.24927536231884057</v>
      </c>
      <c r="P89">
        <f t="shared" si="27"/>
        <v>60</v>
      </c>
      <c r="Q89">
        <f t="shared" si="28"/>
        <v>63</v>
      </c>
      <c r="R89">
        <f t="shared" si="29"/>
        <v>66</v>
      </c>
      <c r="S89" t="b">
        <f t="shared" si="30"/>
        <v>0</v>
      </c>
      <c r="U89">
        <f t="shared" si="31"/>
        <v>59</v>
      </c>
      <c r="V89">
        <f t="shared" si="32"/>
        <v>14.679999999999996</v>
      </c>
      <c r="W89" s="2">
        <f t="shared" si="33"/>
        <v>0.24881355932203383</v>
      </c>
    </row>
    <row r="90" spans="1:23" x14ac:dyDescent="0.35">
      <c r="A90">
        <v>88</v>
      </c>
      <c r="B90" t="s">
        <v>77</v>
      </c>
      <c r="C90" t="s">
        <v>99</v>
      </c>
      <c r="D90">
        <v>7.46</v>
      </c>
      <c r="E90">
        <v>57</v>
      </c>
      <c r="G90">
        <f t="shared" si="21"/>
        <v>9.6899999999999977</v>
      </c>
      <c r="H90" s="2">
        <f t="shared" si="22"/>
        <v>0.16999999999999996</v>
      </c>
      <c r="J90">
        <f t="shared" si="23"/>
        <v>69</v>
      </c>
      <c r="L90">
        <f t="shared" si="24"/>
        <v>69</v>
      </c>
      <c r="M90">
        <f t="shared" si="25"/>
        <v>17.04</v>
      </c>
      <c r="N90" s="2">
        <f t="shared" si="26"/>
        <v>0.24695652173913044</v>
      </c>
      <c r="P90">
        <f t="shared" si="27"/>
        <v>60</v>
      </c>
      <c r="Q90">
        <f t="shared" si="28"/>
        <v>63</v>
      </c>
      <c r="R90">
        <f t="shared" si="29"/>
        <v>66</v>
      </c>
      <c r="S90" t="b">
        <f t="shared" si="30"/>
        <v>0</v>
      </c>
      <c r="U90">
        <f t="shared" si="31"/>
        <v>60</v>
      </c>
      <c r="V90">
        <f t="shared" si="32"/>
        <v>14.939999999999998</v>
      </c>
      <c r="W90" s="2">
        <f t="shared" si="33"/>
        <v>0.24899999999999997</v>
      </c>
    </row>
    <row r="91" spans="1:23" x14ac:dyDescent="0.35">
      <c r="A91">
        <v>89</v>
      </c>
      <c r="B91" t="s">
        <v>77</v>
      </c>
      <c r="C91" t="s">
        <v>100</v>
      </c>
      <c r="D91">
        <v>8.06</v>
      </c>
      <c r="E91">
        <v>56</v>
      </c>
      <c r="G91">
        <f t="shared" si="21"/>
        <v>8.7399999999999967</v>
      </c>
      <c r="H91" s="2">
        <f t="shared" si="22"/>
        <v>0.1560714285714285</v>
      </c>
      <c r="J91">
        <f t="shared" si="23"/>
        <v>71</v>
      </c>
      <c r="L91">
        <f t="shared" si="24"/>
        <v>71</v>
      </c>
      <c r="M91">
        <f t="shared" si="25"/>
        <v>17.839999999999996</v>
      </c>
      <c r="N91" s="2">
        <f t="shared" si="26"/>
        <v>0.25126760563380274</v>
      </c>
      <c r="P91">
        <f t="shared" si="27"/>
        <v>59</v>
      </c>
      <c r="Q91">
        <f t="shared" si="28"/>
        <v>62</v>
      </c>
      <c r="R91">
        <f t="shared" si="29"/>
        <v>65</v>
      </c>
      <c r="S91" t="b">
        <f t="shared" si="30"/>
        <v>0</v>
      </c>
      <c r="U91">
        <f t="shared" si="31"/>
        <v>64</v>
      </c>
      <c r="V91">
        <f t="shared" si="32"/>
        <v>16.019999999999996</v>
      </c>
      <c r="W91" s="2">
        <f t="shared" si="33"/>
        <v>0.25031249999999994</v>
      </c>
    </row>
    <row r="92" spans="1:23" x14ac:dyDescent="0.35">
      <c r="A92">
        <v>90</v>
      </c>
      <c r="B92" t="s">
        <v>77</v>
      </c>
      <c r="C92" t="s">
        <v>101</v>
      </c>
      <c r="D92">
        <v>7.99</v>
      </c>
      <c r="E92">
        <v>56</v>
      </c>
      <c r="G92">
        <f t="shared" si="21"/>
        <v>8.8099999999999969</v>
      </c>
      <c r="H92" s="2">
        <f t="shared" si="22"/>
        <v>0.15732142857142853</v>
      </c>
      <c r="J92">
        <f t="shared" si="23"/>
        <v>71</v>
      </c>
      <c r="L92">
        <f t="shared" si="24"/>
        <v>71</v>
      </c>
      <c r="M92">
        <f t="shared" si="25"/>
        <v>17.909999999999997</v>
      </c>
      <c r="N92" s="2">
        <f t="shared" si="26"/>
        <v>0.25225352112676053</v>
      </c>
      <c r="P92">
        <f t="shared" si="27"/>
        <v>59</v>
      </c>
      <c r="Q92">
        <f t="shared" si="28"/>
        <v>62</v>
      </c>
      <c r="R92">
        <f t="shared" si="29"/>
        <v>65</v>
      </c>
      <c r="S92" t="b">
        <f t="shared" si="30"/>
        <v>0</v>
      </c>
      <c r="U92">
        <f t="shared" si="31"/>
        <v>63</v>
      </c>
      <c r="V92">
        <f t="shared" si="32"/>
        <v>15.669999999999996</v>
      </c>
      <c r="W92" s="2">
        <f t="shared" si="33"/>
        <v>0.24873015873015866</v>
      </c>
    </row>
    <row r="93" spans="1:23" x14ac:dyDescent="0.35">
      <c r="A93">
        <v>91</v>
      </c>
      <c r="B93" t="s">
        <v>102</v>
      </c>
      <c r="C93" t="s">
        <v>103</v>
      </c>
      <c r="D93">
        <v>1.75</v>
      </c>
      <c r="E93">
        <v>21</v>
      </c>
      <c r="G93">
        <f t="shared" si="21"/>
        <v>2.8</v>
      </c>
      <c r="H93" s="2">
        <f t="shared" si="22"/>
        <v>0.13333333333333333</v>
      </c>
      <c r="J93">
        <v>21</v>
      </c>
      <c r="L93">
        <f t="shared" si="24"/>
        <v>21</v>
      </c>
      <c r="M93">
        <f t="shared" si="25"/>
        <v>2.8</v>
      </c>
      <c r="N93" s="2">
        <f t="shared" si="26"/>
        <v>0.13333333333333333</v>
      </c>
      <c r="P93">
        <f t="shared" si="27"/>
        <v>21</v>
      </c>
      <c r="Q93">
        <f t="shared" si="28"/>
        <v>21</v>
      </c>
      <c r="R93">
        <f t="shared" si="29"/>
        <v>21</v>
      </c>
      <c r="S93" t="b">
        <f t="shared" si="30"/>
        <v>0</v>
      </c>
      <c r="U93">
        <f t="shared" si="31"/>
        <v>27</v>
      </c>
      <c r="V93">
        <f t="shared" si="32"/>
        <v>6.7899999999999991</v>
      </c>
      <c r="W93" s="2">
        <f t="shared" si="33"/>
        <v>0.25148148148148147</v>
      </c>
    </row>
    <row r="94" spans="1:23" x14ac:dyDescent="0.35">
      <c r="A94">
        <v>92</v>
      </c>
      <c r="B94" t="s">
        <v>102</v>
      </c>
      <c r="C94" t="s">
        <v>104</v>
      </c>
      <c r="D94">
        <v>1.83</v>
      </c>
      <c r="E94">
        <v>23</v>
      </c>
      <c r="G94">
        <f t="shared" si="21"/>
        <v>3.42</v>
      </c>
      <c r="H94" s="2">
        <f t="shared" si="22"/>
        <v>0.14869565217391303</v>
      </c>
      <c r="J94">
        <v>23</v>
      </c>
      <c r="L94">
        <f t="shared" si="24"/>
        <v>23</v>
      </c>
      <c r="M94">
        <f t="shared" si="25"/>
        <v>3.42</v>
      </c>
      <c r="N94" s="2">
        <f t="shared" si="26"/>
        <v>0.14869565217391303</v>
      </c>
      <c r="P94">
        <f t="shared" si="27"/>
        <v>23</v>
      </c>
      <c r="Q94">
        <f t="shared" si="28"/>
        <v>23</v>
      </c>
      <c r="R94">
        <f t="shared" si="29"/>
        <v>23</v>
      </c>
      <c r="S94" t="b">
        <f t="shared" si="30"/>
        <v>0</v>
      </c>
      <c r="U94">
        <f t="shared" si="31"/>
        <v>27</v>
      </c>
      <c r="V94">
        <f t="shared" si="32"/>
        <v>6.7099999999999991</v>
      </c>
      <c r="W94" s="2">
        <f t="shared" si="33"/>
        <v>0.24851851851851847</v>
      </c>
    </row>
    <row r="95" spans="1:23" x14ac:dyDescent="0.35">
      <c r="A95">
        <v>93</v>
      </c>
      <c r="B95" t="s">
        <v>102</v>
      </c>
      <c r="C95" t="s">
        <v>105</v>
      </c>
      <c r="D95">
        <v>2.64</v>
      </c>
      <c r="E95">
        <v>28</v>
      </c>
      <c r="G95">
        <f t="shared" si="21"/>
        <v>4.3599999999999994</v>
      </c>
      <c r="H95" s="2">
        <f t="shared" si="22"/>
        <v>0.15571428571428569</v>
      </c>
      <c r="J95">
        <v>28</v>
      </c>
      <c r="L95">
        <f t="shared" si="24"/>
        <v>28</v>
      </c>
      <c r="M95">
        <f t="shared" si="25"/>
        <v>4.3599999999999994</v>
      </c>
      <c r="N95" s="2">
        <f t="shared" si="26"/>
        <v>0.15571428571428569</v>
      </c>
      <c r="P95">
        <f t="shared" si="27"/>
        <v>28</v>
      </c>
      <c r="Q95">
        <f t="shared" si="28"/>
        <v>28</v>
      </c>
      <c r="R95">
        <f t="shared" si="29"/>
        <v>28</v>
      </c>
      <c r="S95" t="b">
        <f t="shared" si="30"/>
        <v>0</v>
      </c>
      <c r="U95">
        <f t="shared" si="31"/>
        <v>32</v>
      </c>
      <c r="V95">
        <f t="shared" si="32"/>
        <v>7.9999999999999982</v>
      </c>
      <c r="W95" s="2">
        <f t="shared" si="33"/>
        <v>0.24999999999999994</v>
      </c>
    </row>
    <row r="96" spans="1:23" x14ac:dyDescent="0.35">
      <c r="A96">
        <v>94</v>
      </c>
      <c r="B96" t="s">
        <v>102</v>
      </c>
      <c r="C96" t="s">
        <v>106</v>
      </c>
      <c r="D96">
        <v>3.43</v>
      </c>
      <c r="E96">
        <v>26</v>
      </c>
      <c r="G96">
        <f t="shared" si="21"/>
        <v>2.8699999999999997</v>
      </c>
      <c r="H96" s="2">
        <f t="shared" si="22"/>
        <v>0.11038461538461537</v>
      </c>
      <c r="J96">
        <v>26</v>
      </c>
      <c r="L96">
        <f t="shared" si="24"/>
        <v>26</v>
      </c>
      <c r="M96">
        <f t="shared" si="25"/>
        <v>2.8699999999999997</v>
      </c>
      <c r="N96" s="2">
        <f t="shared" si="26"/>
        <v>0.11038461538461537</v>
      </c>
      <c r="P96">
        <f t="shared" si="27"/>
        <v>26</v>
      </c>
      <c r="Q96">
        <f t="shared" si="28"/>
        <v>26</v>
      </c>
      <c r="R96">
        <f t="shared" si="29"/>
        <v>26</v>
      </c>
      <c r="S96" t="b">
        <f t="shared" si="30"/>
        <v>0</v>
      </c>
      <c r="U96">
        <f t="shared" si="31"/>
        <v>37</v>
      </c>
      <c r="V96">
        <f t="shared" si="32"/>
        <v>9.3099999999999987</v>
      </c>
      <c r="W96" s="2">
        <f t="shared" si="33"/>
        <v>0.25162162162162161</v>
      </c>
    </row>
    <row r="97" spans="1:23" x14ac:dyDescent="0.35">
      <c r="A97">
        <v>95</v>
      </c>
      <c r="B97" t="s">
        <v>102</v>
      </c>
      <c r="C97" t="s">
        <v>107</v>
      </c>
      <c r="D97">
        <v>4.04</v>
      </c>
      <c r="E97">
        <v>30</v>
      </c>
      <c r="G97">
        <f t="shared" si="21"/>
        <v>3.6599999999999993</v>
      </c>
      <c r="H97" s="2">
        <f t="shared" si="22"/>
        <v>0.12199999999999997</v>
      </c>
      <c r="J97">
        <v>30</v>
      </c>
      <c r="L97">
        <f t="shared" si="24"/>
        <v>30</v>
      </c>
      <c r="M97">
        <f t="shared" si="25"/>
        <v>3.6599999999999993</v>
      </c>
      <c r="N97" s="2">
        <f t="shared" si="26"/>
        <v>0.12199999999999997</v>
      </c>
      <c r="P97">
        <f t="shared" si="27"/>
        <v>30</v>
      </c>
      <c r="Q97">
        <f t="shared" si="28"/>
        <v>30</v>
      </c>
      <c r="R97">
        <f t="shared" si="29"/>
        <v>30</v>
      </c>
      <c r="S97" t="b">
        <f t="shared" si="30"/>
        <v>0</v>
      </c>
      <c r="U97">
        <f t="shared" si="31"/>
        <v>40</v>
      </c>
      <c r="V97">
        <f t="shared" si="32"/>
        <v>9.9600000000000009</v>
      </c>
      <c r="W97" s="2">
        <f t="shared" si="33"/>
        <v>0.24900000000000003</v>
      </c>
    </row>
    <row r="98" spans="1:23" x14ac:dyDescent="0.35">
      <c r="A98">
        <v>96</v>
      </c>
      <c r="B98" t="s">
        <v>102</v>
      </c>
      <c r="C98" t="s">
        <v>108</v>
      </c>
      <c r="D98">
        <v>3.16</v>
      </c>
      <c r="E98">
        <v>25</v>
      </c>
      <c r="G98">
        <f t="shared" si="21"/>
        <v>2.7899999999999991</v>
      </c>
      <c r="H98" s="2">
        <f t="shared" si="22"/>
        <v>0.11159999999999996</v>
      </c>
      <c r="J98">
        <v>25</v>
      </c>
      <c r="L98">
        <f t="shared" si="24"/>
        <v>25</v>
      </c>
      <c r="M98">
        <f t="shared" si="25"/>
        <v>2.7899999999999991</v>
      </c>
      <c r="N98" s="2">
        <f t="shared" si="26"/>
        <v>0.11159999999999996</v>
      </c>
      <c r="P98">
        <f t="shared" si="27"/>
        <v>25</v>
      </c>
      <c r="Q98">
        <f t="shared" si="28"/>
        <v>25</v>
      </c>
      <c r="R98">
        <f t="shared" si="29"/>
        <v>25</v>
      </c>
      <c r="S98" t="b">
        <f t="shared" si="30"/>
        <v>0</v>
      </c>
      <c r="U98">
        <f t="shared" si="31"/>
        <v>35</v>
      </c>
      <c r="V98">
        <f t="shared" si="32"/>
        <v>8.7399999999999984</v>
      </c>
      <c r="W98" s="2">
        <f t="shared" si="33"/>
        <v>0.24971428571428567</v>
      </c>
    </row>
    <row r="99" spans="1:23" x14ac:dyDescent="0.35">
      <c r="A99">
        <v>97</v>
      </c>
      <c r="B99" t="s">
        <v>102</v>
      </c>
      <c r="C99" t="s">
        <v>109</v>
      </c>
      <c r="D99">
        <v>3.13</v>
      </c>
      <c r="E99">
        <v>24</v>
      </c>
      <c r="G99">
        <f t="shared" ref="G99:G130" si="34">IFERROR(((E99-MIN(E99/2,30)-4)*0.7)-$D99,0)</f>
        <v>2.4699999999999998</v>
      </c>
      <c r="H99" s="2">
        <f t="shared" ref="H99:H130" si="35">IFERROR(G99/E99,0)</f>
        <v>0.10291666666666666</v>
      </c>
      <c r="J99">
        <v>24</v>
      </c>
      <c r="L99">
        <f t="shared" si="24"/>
        <v>24</v>
      </c>
      <c r="M99">
        <f t="shared" si="25"/>
        <v>2.4699999999999998</v>
      </c>
      <c r="N99" s="2">
        <f t="shared" si="26"/>
        <v>0.10291666666666666</v>
      </c>
      <c r="P99">
        <f t="shared" si="27"/>
        <v>24</v>
      </c>
      <c r="Q99">
        <f t="shared" si="28"/>
        <v>24</v>
      </c>
      <c r="R99">
        <f t="shared" si="29"/>
        <v>24</v>
      </c>
      <c r="S99" t="b">
        <f t="shared" si="30"/>
        <v>0</v>
      </c>
      <c r="U99">
        <f t="shared" si="31"/>
        <v>35</v>
      </c>
      <c r="V99">
        <f t="shared" si="32"/>
        <v>8.77</v>
      </c>
      <c r="W99" s="2">
        <f t="shared" si="33"/>
        <v>0.25057142857142856</v>
      </c>
    </row>
    <row r="100" spans="1:23" x14ac:dyDescent="0.35">
      <c r="A100">
        <v>98</v>
      </c>
      <c r="B100" t="s">
        <v>102</v>
      </c>
      <c r="C100" t="s">
        <v>110</v>
      </c>
      <c r="D100">
        <v>2.79</v>
      </c>
      <c r="E100">
        <v>29</v>
      </c>
      <c r="G100">
        <f t="shared" si="34"/>
        <v>4.5599999999999996</v>
      </c>
      <c r="H100" s="2">
        <f t="shared" si="35"/>
        <v>0.15724137931034482</v>
      </c>
      <c r="J100">
        <v>29</v>
      </c>
      <c r="L100">
        <f t="shared" si="24"/>
        <v>29</v>
      </c>
      <c r="M100">
        <f t="shared" si="25"/>
        <v>4.5599999999999996</v>
      </c>
      <c r="N100" s="2">
        <f t="shared" si="26"/>
        <v>0.15724137931034482</v>
      </c>
      <c r="P100">
        <f t="shared" si="27"/>
        <v>29</v>
      </c>
      <c r="Q100">
        <f t="shared" si="28"/>
        <v>29</v>
      </c>
      <c r="R100">
        <f t="shared" si="29"/>
        <v>29</v>
      </c>
      <c r="S100" t="b">
        <f t="shared" si="30"/>
        <v>0</v>
      </c>
      <c r="U100">
        <f t="shared" si="31"/>
        <v>33</v>
      </c>
      <c r="V100">
        <f t="shared" si="32"/>
        <v>8.269999999999996</v>
      </c>
      <c r="W100" s="2">
        <f t="shared" si="33"/>
        <v>0.2506060606060605</v>
      </c>
    </row>
    <row r="101" spans="1:23" x14ac:dyDescent="0.35">
      <c r="A101">
        <v>99</v>
      </c>
      <c r="B101" t="s">
        <v>102</v>
      </c>
      <c r="C101" t="s">
        <v>111</v>
      </c>
      <c r="D101">
        <v>5.69</v>
      </c>
      <c r="E101">
        <v>48</v>
      </c>
      <c r="G101">
        <f t="shared" si="34"/>
        <v>8.3099999999999987</v>
      </c>
      <c r="H101" s="2">
        <f t="shared" si="35"/>
        <v>0.17312499999999997</v>
      </c>
      <c r="J101">
        <v>48</v>
      </c>
      <c r="L101">
        <f t="shared" si="24"/>
        <v>48</v>
      </c>
      <c r="M101">
        <f t="shared" si="25"/>
        <v>8.3099999999999987</v>
      </c>
      <c r="N101" s="2">
        <f t="shared" si="26"/>
        <v>0.17312499999999997</v>
      </c>
      <c r="P101">
        <f t="shared" si="27"/>
        <v>48</v>
      </c>
      <c r="Q101">
        <f t="shared" si="28"/>
        <v>48</v>
      </c>
      <c r="R101">
        <f t="shared" si="29"/>
        <v>48</v>
      </c>
      <c r="S101" t="b">
        <f t="shared" si="30"/>
        <v>0</v>
      </c>
      <c r="U101">
        <f t="shared" si="31"/>
        <v>50</v>
      </c>
      <c r="V101">
        <f t="shared" si="32"/>
        <v>12.509999999999998</v>
      </c>
      <c r="W101" s="2">
        <f t="shared" si="33"/>
        <v>0.25019999999999998</v>
      </c>
    </row>
    <row r="102" spans="1:23" x14ac:dyDescent="0.35">
      <c r="A102">
        <v>100</v>
      </c>
      <c r="B102" t="s">
        <v>102</v>
      </c>
      <c r="C102" t="s">
        <v>112</v>
      </c>
      <c r="D102">
        <v>5.69</v>
      </c>
      <c r="E102">
        <v>35</v>
      </c>
      <c r="G102">
        <f t="shared" si="34"/>
        <v>3.7599999999999989</v>
      </c>
      <c r="H102" s="2">
        <f t="shared" si="35"/>
        <v>0.1074285714285714</v>
      </c>
      <c r="J102">
        <v>35</v>
      </c>
      <c r="L102">
        <f t="shared" si="24"/>
        <v>35</v>
      </c>
      <c r="M102">
        <f t="shared" si="25"/>
        <v>3.7599999999999989</v>
      </c>
      <c r="N102" s="2">
        <f t="shared" si="26"/>
        <v>0.1074285714285714</v>
      </c>
      <c r="P102">
        <f t="shared" si="27"/>
        <v>35</v>
      </c>
      <c r="Q102">
        <f t="shared" si="28"/>
        <v>35</v>
      </c>
      <c r="R102">
        <f t="shared" si="29"/>
        <v>35</v>
      </c>
      <c r="S102" t="b">
        <f t="shared" si="30"/>
        <v>0</v>
      </c>
      <c r="U102">
        <f t="shared" si="31"/>
        <v>50</v>
      </c>
      <c r="V102">
        <f t="shared" si="32"/>
        <v>12.509999999999998</v>
      </c>
      <c r="W102" s="2">
        <f t="shared" si="33"/>
        <v>0.25019999999999998</v>
      </c>
    </row>
    <row r="103" spans="1:23" x14ac:dyDescent="0.35">
      <c r="A103">
        <v>101</v>
      </c>
      <c r="B103" t="s">
        <v>102</v>
      </c>
      <c r="C103" t="s">
        <v>113</v>
      </c>
      <c r="D103">
        <v>10.38</v>
      </c>
      <c r="E103">
        <v>52</v>
      </c>
      <c r="G103">
        <f t="shared" si="34"/>
        <v>5.0199999999999978</v>
      </c>
      <c r="H103" s="2">
        <f t="shared" si="35"/>
        <v>9.653846153846149E-2</v>
      </c>
      <c r="J103">
        <v>52</v>
      </c>
      <c r="L103">
        <f t="shared" si="24"/>
        <v>52</v>
      </c>
      <c r="M103">
        <f t="shared" si="25"/>
        <v>5.0199999999999978</v>
      </c>
      <c r="N103" s="2">
        <f t="shared" si="26"/>
        <v>9.653846153846149E-2</v>
      </c>
      <c r="P103">
        <f t="shared" si="27"/>
        <v>52</v>
      </c>
      <c r="Q103">
        <f t="shared" si="28"/>
        <v>52</v>
      </c>
      <c r="R103">
        <f t="shared" si="29"/>
        <v>52</v>
      </c>
      <c r="S103" t="b">
        <f t="shared" si="30"/>
        <v>0</v>
      </c>
      <c r="U103">
        <f t="shared" si="31"/>
        <v>76</v>
      </c>
      <c r="V103">
        <f t="shared" si="32"/>
        <v>19.019999999999996</v>
      </c>
      <c r="W103" s="2">
        <f t="shared" si="33"/>
        <v>0.2502631578947368</v>
      </c>
    </row>
    <row r="104" spans="1:23" x14ac:dyDescent="0.35">
      <c r="A104">
        <v>102</v>
      </c>
      <c r="B104" t="s">
        <v>102</v>
      </c>
      <c r="C104" t="s">
        <v>114</v>
      </c>
      <c r="D104">
        <v>1.35</v>
      </c>
      <c r="E104">
        <v>29</v>
      </c>
      <c r="G104">
        <f t="shared" si="34"/>
        <v>6</v>
      </c>
      <c r="H104" s="2">
        <f t="shared" si="35"/>
        <v>0.20689655172413793</v>
      </c>
      <c r="J104">
        <v>29</v>
      </c>
      <c r="L104">
        <f t="shared" si="24"/>
        <v>29</v>
      </c>
      <c r="M104">
        <f t="shared" si="25"/>
        <v>6</v>
      </c>
      <c r="N104" s="2">
        <f t="shared" si="26"/>
        <v>0.20689655172413793</v>
      </c>
      <c r="P104">
        <f t="shared" si="27"/>
        <v>29</v>
      </c>
      <c r="Q104">
        <f t="shared" si="28"/>
        <v>29</v>
      </c>
      <c r="R104">
        <f t="shared" si="29"/>
        <v>29</v>
      </c>
      <c r="S104" t="b">
        <f t="shared" si="30"/>
        <v>0</v>
      </c>
      <c r="U104">
        <f t="shared" si="31"/>
        <v>24</v>
      </c>
      <c r="V104">
        <f t="shared" si="32"/>
        <v>5.9299999999999979</v>
      </c>
      <c r="W104" s="2">
        <f t="shared" si="33"/>
        <v>0.24708333333333324</v>
      </c>
    </row>
    <row r="105" spans="1:23" x14ac:dyDescent="0.35">
      <c r="A105">
        <v>103</v>
      </c>
      <c r="B105" t="s">
        <v>102</v>
      </c>
      <c r="C105" t="s">
        <v>115</v>
      </c>
      <c r="D105">
        <v>0.53</v>
      </c>
      <c r="E105">
        <v>8</v>
      </c>
      <c r="G105">
        <f t="shared" si="34"/>
        <v>-0.53</v>
      </c>
      <c r="H105" s="2">
        <f t="shared" si="35"/>
        <v>-6.6250000000000003E-2</v>
      </c>
      <c r="J105">
        <v>8</v>
      </c>
      <c r="L105">
        <f t="shared" si="24"/>
        <v>8</v>
      </c>
      <c r="M105">
        <f t="shared" si="25"/>
        <v>-0.53</v>
      </c>
      <c r="N105" s="2">
        <f t="shared" si="26"/>
        <v>-6.6250000000000003E-2</v>
      </c>
      <c r="P105">
        <f t="shared" si="27"/>
        <v>8</v>
      </c>
      <c r="Q105">
        <f t="shared" si="28"/>
        <v>8</v>
      </c>
      <c r="R105">
        <f t="shared" si="29"/>
        <v>8</v>
      </c>
      <c r="S105" t="b">
        <f t="shared" si="30"/>
        <v>0</v>
      </c>
      <c r="U105">
        <f t="shared" si="31"/>
        <v>20</v>
      </c>
      <c r="V105">
        <f t="shared" si="32"/>
        <v>5.0699999999999994</v>
      </c>
      <c r="W105" s="2">
        <f t="shared" si="33"/>
        <v>0.25349999999999995</v>
      </c>
    </row>
    <row r="106" spans="1:23" x14ac:dyDescent="0.35">
      <c r="A106">
        <v>104</v>
      </c>
      <c r="B106" t="s">
        <v>102</v>
      </c>
      <c r="C106" t="s">
        <v>116</v>
      </c>
      <c r="D106">
        <v>0.52</v>
      </c>
      <c r="E106">
        <v>8</v>
      </c>
      <c r="G106">
        <f t="shared" si="34"/>
        <v>-0.52</v>
      </c>
      <c r="H106" s="2">
        <f t="shared" si="35"/>
        <v>-6.5000000000000002E-2</v>
      </c>
      <c r="J106">
        <v>8</v>
      </c>
      <c r="L106">
        <f t="shared" si="24"/>
        <v>8</v>
      </c>
      <c r="M106">
        <f t="shared" si="25"/>
        <v>-0.52</v>
      </c>
      <c r="N106" s="2">
        <f t="shared" si="26"/>
        <v>-6.5000000000000002E-2</v>
      </c>
      <c r="P106">
        <f t="shared" si="27"/>
        <v>8</v>
      </c>
      <c r="Q106">
        <f t="shared" si="28"/>
        <v>8</v>
      </c>
      <c r="R106">
        <f t="shared" si="29"/>
        <v>8</v>
      </c>
      <c r="S106" t="b">
        <f t="shared" si="30"/>
        <v>0</v>
      </c>
      <c r="U106">
        <f t="shared" si="31"/>
        <v>20</v>
      </c>
      <c r="V106">
        <f t="shared" si="32"/>
        <v>5.08</v>
      </c>
      <c r="W106" s="2">
        <f t="shared" si="33"/>
        <v>0.254</v>
      </c>
    </row>
    <row r="107" spans="1:23" x14ac:dyDescent="0.35">
      <c r="A107">
        <v>105</v>
      </c>
      <c r="B107" t="s">
        <v>102</v>
      </c>
      <c r="C107" t="s">
        <v>117</v>
      </c>
      <c r="D107">
        <v>0.26</v>
      </c>
      <c r="E107">
        <v>8</v>
      </c>
      <c r="G107">
        <f t="shared" si="34"/>
        <v>-0.26</v>
      </c>
      <c r="H107" s="2">
        <f t="shared" si="35"/>
        <v>-3.2500000000000001E-2</v>
      </c>
      <c r="J107">
        <v>8</v>
      </c>
      <c r="L107">
        <f t="shared" si="24"/>
        <v>8</v>
      </c>
      <c r="M107">
        <f t="shared" si="25"/>
        <v>-0.26</v>
      </c>
      <c r="N107" s="2">
        <f t="shared" si="26"/>
        <v>-3.2500000000000001E-2</v>
      </c>
      <c r="P107">
        <f t="shared" si="27"/>
        <v>8</v>
      </c>
      <c r="Q107">
        <f t="shared" si="28"/>
        <v>8</v>
      </c>
      <c r="R107">
        <f t="shared" si="29"/>
        <v>8</v>
      </c>
      <c r="S107" t="b">
        <f t="shared" si="30"/>
        <v>0</v>
      </c>
      <c r="U107">
        <f t="shared" si="31"/>
        <v>18</v>
      </c>
      <c r="V107">
        <f t="shared" si="32"/>
        <v>4.5</v>
      </c>
      <c r="W107" s="2">
        <f t="shared" si="33"/>
        <v>0.25</v>
      </c>
    </row>
    <row r="108" spans="1:23" x14ac:dyDescent="0.35">
      <c r="A108">
        <v>106</v>
      </c>
      <c r="B108" t="s">
        <v>102</v>
      </c>
      <c r="C108" t="s">
        <v>118</v>
      </c>
      <c r="D108">
        <v>0.48</v>
      </c>
      <c r="E108">
        <v>8</v>
      </c>
      <c r="G108">
        <f t="shared" si="34"/>
        <v>-0.48</v>
      </c>
      <c r="H108" s="2">
        <f t="shared" si="35"/>
        <v>-0.06</v>
      </c>
      <c r="J108">
        <v>8</v>
      </c>
      <c r="L108">
        <f t="shared" si="24"/>
        <v>8</v>
      </c>
      <c r="M108">
        <f t="shared" si="25"/>
        <v>-0.48</v>
      </c>
      <c r="N108" s="2">
        <f t="shared" si="26"/>
        <v>-0.06</v>
      </c>
      <c r="P108">
        <f t="shared" si="27"/>
        <v>8</v>
      </c>
      <c r="Q108">
        <f t="shared" si="28"/>
        <v>8</v>
      </c>
      <c r="R108">
        <f t="shared" si="29"/>
        <v>8</v>
      </c>
      <c r="S108" t="b">
        <f t="shared" si="30"/>
        <v>0</v>
      </c>
      <c r="U108">
        <f t="shared" si="31"/>
        <v>19</v>
      </c>
      <c r="V108">
        <f t="shared" si="32"/>
        <v>4.6999999999999993</v>
      </c>
      <c r="W108" s="2">
        <f t="shared" si="33"/>
        <v>0.24736842105263154</v>
      </c>
    </row>
    <row r="109" spans="1:23" x14ac:dyDescent="0.35">
      <c r="A109">
        <v>107</v>
      </c>
      <c r="B109" t="s">
        <v>102</v>
      </c>
      <c r="C109" t="s">
        <v>119</v>
      </c>
      <c r="D109">
        <v>0.69</v>
      </c>
      <c r="E109">
        <v>8</v>
      </c>
      <c r="G109">
        <f t="shared" si="34"/>
        <v>-0.69</v>
      </c>
      <c r="H109" s="2">
        <f t="shared" si="35"/>
        <v>-8.6249999999999993E-2</v>
      </c>
      <c r="J109">
        <v>8</v>
      </c>
      <c r="L109">
        <f t="shared" si="24"/>
        <v>8</v>
      </c>
      <c r="M109">
        <f t="shared" si="25"/>
        <v>-0.69</v>
      </c>
      <c r="N109" s="2">
        <f t="shared" si="26"/>
        <v>-8.6249999999999993E-2</v>
      </c>
      <c r="P109">
        <f t="shared" si="27"/>
        <v>8</v>
      </c>
      <c r="Q109">
        <f t="shared" si="28"/>
        <v>8</v>
      </c>
      <c r="R109">
        <f t="shared" si="29"/>
        <v>8</v>
      </c>
      <c r="S109" t="b">
        <f t="shared" si="30"/>
        <v>0</v>
      </c>
      <c r="U109">
        <f t="shared" si="31"/>
        <v>21</v>
      </c>
      <c r="V109">
        <f t="shared" si="32"/>
        <v>5.33</v>
      </c>
      <c r="W109" s="2">
        <f t="shared" si="33"/>
        <v>0.25380952380952382</v>
      </c>
    </row>
    <row r="110" spans="1:23" x14ac:dyDescent="0.35">
      <c r="A110">
        <v>108</v>
      </c>
      <c r="B110" t="s">
        <v>102</v>
      </c>
      <c r="C110" t="s">
        <v>120</v>
      </c>
      <c r="D110">
        <v>0.43</v>
      </c>
      <c r="E110">
        <v>8</v>
      </c>
      <c r="G110">
        <f t="shared" si="34"/>
        <v>-0.43</v>
      </c>
      <c r="H110" s="2">
        <f t="shared" si="35"/>
        <v>-5.3749999999999999E-2</v>
      </c>
      <c r="J110">
        <v>8</v>
      </c>
      <c r="L110">
        <f t="shared" si="24"/>
        <v>8</v>
      </c>
      <c r="M110">
        <f t="shared" si="25"/>
        <v>-0.43</v>
      </c>
      <c r="N110" s="2">
        <f t="shared" si="26"/>
        <v>-5.3749999999999999E-2</v>
      </c>
      <c r="P110">
        <f t="shared" si="27"/>
        <v>8</v>
      </c>
      <c r="Q110">
        <f t="shared" si="28"/>
        <v>8</v>
      </c>
      <c r="R110">
        <f t="shared" si="29"/>
        <v>8</v>
      </c>
      <c r="S110" t="b">
        <f t="shared" si="30"/>
        <v>0</v>
      </c>
      <c r="U110">
        <f t="shared" si="31"/>
        <v>19</v>
      </c>
      <c r="V110">
        <f t="shared" si="32"/>
        <v>4.7499999999999991</v>
      </c>
      <c r="W110" s="2">
        <f t="shared" si="33"/>
        <v>0.24999999999999994</v>
      </c>
    </row>
    <row r="111" spans="1:23" x14ac:dyDescent="0.35">
      <c r="A111">
        <v>109</v>
      </c>
      <c r="B111" t="s">
        <v>102</v>
      </c>
      <c r="C111" t="s">
        <v>121</v>
      </c>
      <c r="D111">
        <v>0.38</v>
      </c>
      <c r="E111">
        <v>8</v>
      </c>
      <c r="G111">
        <f t="shared" si="34"/>
        <v>-0.38</v>
      </c>
      <c r="H111" s="2">
        <f t="shared" si="35"/>
        <v>-4.7500000000000001E-2</v>
      </c>
      <c r="J111">
        <v>8</v>
      </c>
      <c r="L111">
        <f t="shared" si="24"/>
        <v>8</v>
      </c>
      <c r="M111">
        <f t="shared" si="25"/>
        <v>-0.38</v>
      </c>
      <c r="N111" s="2">
        <f t="shared" si="26"/>
        <v>-4.7500000000000001E-2</v>
      </c>
      <c r="P111">
        <f t="shared" si="27"/>
        <v>8</v>
      </c>
      <c r="Q111">
        <f t="shared" si="28"/>
        <v>8</v>
      </c>
      <c r="R111">
        <f t="shared" si="29"/>
        <v>8</v>
      </c>
      <c r="S111" t="b">
        <f t="shared" si="30"/>
        <v>0</v>
      </c>
      <c r="U111">
        <f t="shared" si="31"/>
        <v>19</v>
      </c>
      <c r="V111">
        <f t="shared" si="32"/>
        <v>4.7999999999999989</v>
      </c>
      <c r="W111" s="2">
        <f t="shared" si="33"/>
        <v>0.25263157894736837</v>
      </c>
    </row>
    <row r="112" spans="1:23" x14ac:dyDescent="0.35">
      <c r="A112">
        <v>110</v>
      </c>
      <c r="B112" t="s">
        <v>102</v>
      </c>
      <c r="C112" t="s">
        <v>122</v>
      </c>
      <c r="D112">
        <v>1.06</v>
      </c>
      <c r="E112">
        <v>8</v>
      </c>
      <c r="G112">
        <f t="shared" si="34"/>
        <v>-1.06</v>
      </c>
      <c r="H112" s="2">
        <f t="shared" si="35"/>
        <v>-0.13250000000000001</v>
      </c>
      <c r="J112">
        <v>8</v>
      </c>
      <c r="L112">
        <f t="shared" si="24"/>
        <v>8</v>
      </c>
      <c r="M112">
        <f t="shared" si="25"/>
        <v>-1.06</v>
      </c>
      <c r="N112" s="2">
        <f t="shared" si="26"/>
        <v>-0.13250000000000001</v>
      </c>
      <c r="P112">
        <f t="shared" si="27"/>
        <v>8</v>
      </c>
      <c r="Q112">
        <f t="shared" si="28"/>
        <v>8</v>
      </c>
      <c r="R112">
        <f t="shared" si="29"/>
        <v>8</v>
      </c>
      <c r="S112" t="b">
        <f t="shared" si="30"/>
        <v>0</v>
      </c>
      <c r="U112">
        <f t="shared" si="31"/>
        <v>23</v>
      </c>
      <c r="V112">
        <f t="shared" si="32"/>
        <v>5.7999999999999989</v>
      </c>
      <c r="W112" s="2">
        <f t="shared" si="33"/>
        <v>0.25217391304347819</v>
      </c>
    </row>
    <row r="113" spans="1:23" x14ac:dyDescent="0.35">
      <c r="A113">
        <v>111</v>
      </c>
      <c r="B113" t="s">
        <v>102</v>
      </c>
      <c r="C113" t="s">
        <v>123</v>
      </c>
      <c r="D113">
        <v>0.38</v>
      </c>
      <c r="E113">
        <v>8</v>
      </c>
      <c r="G113">
        <f t="shared" si="34"/>
        <v>-0.38</v>
      </c>
      <c r="H113" s="2">
        <f t="shared" si="35"/>
        <v>-4.7500000000000001E-2</v>
      </c>
      <c r="J113">
        <v>8</v>
      </c>
      <c r="L113">
        <f t="shared" si="24"/>
        <v>8</v>
      </c>
      <c r="M113">
        <f t="shared" si="25"/>
        <v>-0.38</v>
      </c>
      <c r="N113" s="2">
        <f t="shared" si="26"/>
        <v>-4.7500000000000001E-2</v>
      </c>
      <c r="P113">
        <f t="shared" si="27"/>
        <v>8</v>
      </c>
      <c r="Q113">
        <f t="shared" si="28"/>
        <v>8</v>
      </c>
      <c r="R113">
        <f t="shared" si="29"/>
        <v>8</v>
      </c>
      <c r="S113" t="b">
        <f t="shared" si="30"/>
        <v>0</v>
      </c>
      <c r="U113">
        <f t="shared" si="31"/>
        <v>19</v>
      </c>
      <c r="V113">
        <f t="shared" si="32"/>
        <v>4.7999999999999989</v>
      </c>
      <c r="W113" s="2">
        <f t="shared" si="33"/>
        <v>0.25263157894736837</v>
      </c>
    </row>
    <row r="114" spans="1:23" x14ac:dyDescent="0.35">
      <c r="A114">
        <v>112</v>
      </c>
      <c r="B114" t="s">
        <v>124</v>
      </c>
      <c r="C114" t="s">
        <v>125</v>
      </c>
      <c r="D114">
        <v>9.74</v>
      </c>
      <c r="E114">
        <v>78</v>
      </c>
      <c r="G114">
        <f t="shared" si="34"/>
        <v>21.059999999999995</v>
      </c>
      <c r="H114" s="2">
        <f t="shared" si="35"/>
        <v>0.26999999999999996</v>
      </c>
      <c r="J114">
        <f t="shared" ref="J114:J128" si="36">ROUND(IF(D114&lt;=3.2,28+10*(D114),(23.8+D114)/0.45),0)</f>
        <v>75</v>
      </c>
      <c r="L114">
        <f t="shared" si="24"/>
        <v>78</v>
      </c>
      <c r="M114">
        <f t="shared" si="25"/>
        <v>21.059999999999995</v>
      </c>
      <c r="N114" s="2">
        <f t="shared" si="26"/>
        <v>0.26999999999999996</v>
      </c>
      <c r="P114">
        <f t="shared" si="27"/>
        <v>78</v>
      </c>
      <c r="Q114">
        <f t="shared" si="28"/>
        <v>78</v>
      </c>
      <c r="R114">
        <f t="shared" si="29"/>
        <v>78</v>
      </c>
      <c r="S114" t="b">
        <f t="shared" si="30"/>
        <v>0</v>
      </c>
      <c r="U114">
        <f t="shared" si="31"/>
        <v>74</v>
      </c>
      <c r="V114">
        <f t="shared" si="32"/>
        <v>18.54</v>
      </c>
      <c r="W114" s="2">
        <f t="shared" si="33"/>
        <v>0.25054054054054054</v>
      </c>
    </row>
    <row r="115" spans="1:23" x14ac:dyDescent="0.35">
      <c r="A115">
        <v>113</v>
      </c>
      <c r="B115" t="s">
        <v>124</v>
      </c>
      <c r="C115" t="s">
        <v>126</v>
      </c>
      <c r="D115">
        <v>19.48</v>
      </c>
      <c r="E115">
        <v>132</v>
      </c>
      <c r="G115">
        <f t="shared" si="34"/>
        <v>49.11999999999999</v>
      </c>
      <c r="H115" s="2">
        <f t="shared" si="35"/>
        <v>0.37212121212121207</v>
      </c>
      <c r="J115">
        <f t="shared" si="36"/>
        <v>96</v>
      </c>
      <c r="L115">
        <f t="shared" si="24"/>
        <v>132</v>
      </c>
      <c r="M115">
        <f t="shared" si="25"/>
        <v>49.11999999999999</v>
      </c>
      <c r="N115" s="2">
        <f t="shared" si="26"/>
        <v>0.37212121212121207</v>
      </c>
      <c r="P115">
        <f t="shared" si="27"/>
        <v>132</v>
      </c>
      <c r="Q115">
        <f t="shared" si="28"/>
        <v>132</v>
      </c>
      <c r="R115">
        <f t="shared" si="29"/>
        <v>132</v>
      </c>
      <c r="S115" t="b">
        <f t="shared" si="30"/>
        <v>0</v>
      </c>
      <c r="U115">
        <f t="shared" si="31"/>
        <v>96</v>
      </c>
      <c r="V115">
        <f t="shared" si="32"/>
        <v>23.919999999999998</v>
      </c>
      <c r="W115" s="2">
        <f t="shared" si="33"/>
        <v>0.24916666666666665</v>
      </c>
    </row>
    <row r="116" spans="1:23" x14ac:dyDescent="0.35">
      <c r="A116">
        <v>114</v>
      </c>
      <c r="B116" t="s">
        <v>124</v>
      </c>
      <c r="C116" t="s">
        <v>127</v>
      </c>
      <c r="D116">
        <v>38.96</v>
      </c>
      <c r="E116">
        <v>196</v>
      </c>
      <c r="G116">
        <f t="shared" si="34"/>
        <v>74.44</v>
      </c>
      <c r="H116" s="2">
        <f t="shared" si="35"/>
        <v>0.37979591836734694</v>
      </c>
      <c r="J116">
        <f t="shared" si="36"/>
        <v>139</v>
      </c>
      <c r="L116">
        <f t="shared" si="24"/>
        <v>196</v>
      </c>
      <c r="M116">
        <f t="shared" si="25"/>
        <v>74.44</v>
      </c>
      <c r="N116" s="2">
        <f t="shared" si="26"/>
        <v>0.37979591836734694</v>
      </c>
      <c r="P116">
        <f t="shared" si="27"/>
        <v>196</v>
      </c>
      <c r="Q116">
        <f t="shared" si="28"/>
        <v>196</v>
      </c>
      <c r="R116">
        <f t="shared" si="29"/>
        <v>196</v>
      </c>
      <c r="S116" t="b">
        <f t="shared" si="30"/>
        <v>0</v>
      </c>
      <c r="U116">
        <f t="shared" si="31"/>
        <v>139</v>
      </c>
      <c r="V116">
        <f t="shared" si="32"/>
        <v>34.54</v>
      </c>
      <c r="W116" s="2">
        <f t="shared" si="33"/>
        <v>0.24848920863309351</v>
      </c>
    </row>
    <row r="117" spans="1:23" x14ac:dyDescent="0.35">
      <c r="A117">
        <v>115</v>
      </c>
      <c r="B117" t="s">
        <v>124</v>
      </c>
      <c r="C117" t="s">
        <v>128</v>
      </c>
      <c r="D117">
        <v>12.65</v>
      </c>
      <c r="E117">
        <v>77</v>
      </c>
      <c r="G117">
        <f t="shared" si="34"/>
        <v>17.449999999999996</v>
      </c>
      <c r="H117" s="2">
        <f t="shared" si="35"/>
        <v>0.22662337662337656</v>
      </c>
      <c r="J117">
        <f t="shared" si="36"/>
        <v>81</v>
      </c>
      <c r="L117">
        <f t="shared" si="24"/>
        <v>81</v>
      </c>
      <c r="M117">
        <f t="shared" si="25"/>
        <v>20.25</v>
      </c>
      <c r="N117" s="2">
        <f t="shared" si="26"/>
        <v>0.25</v>
      </c>
      <c r="P117">
        <f t="shared" si="27"/>
        <v>80</v>
      </c>
      <c r="Q117">
        <f t="shared" si="28"/>
        <v>81</v>
      </c>
      <c r="R117">
        <f t="shared" si="29"/>
        <v>81</v>
      </c>
      <c r="S117" t="b">
        <f t="shared" si="30"/>
        <v>0</v>
      </c>
      <c r="U117">
        <f t="shared" si="31"/>
        <v>81</v>
      </c>
      <c r="V117">
        <f t="shared" si="32"/>
        <v>20.25</v>
      </c>
      <c r="W117" s="2">
        <f t="shared" si="33"/>
        <v>0.25</v>
      </c>
    </row>
    <row r="118" spans="1:23" x14ac:dyDescent="0.35">
      <c r="A118">
        <v>116</v>
      </c>
      <c r="B118" t="s">
        <v>124</v>
      </c>
      <c r="C118" t="s">
        <v>129</v>
      </c>
      <c r="D118">
        <v>25.3</v>
      </c>
      <c r="E118">
        <v>126</v>
      </c>
      <c r="G118">
        <f t="shared" si="34"/>
        <v>39.099999999999994</v>
      </c>
      <c r="H118" s="2">
        <f t="shared" si="35"/>
        <v>0.31031746031746027</v>
      </c>
      <c r="J118">
        <f t="shared" si="36"/>
        <v>109</v>
      </c>
      <c r="L118">
        <f t="shared" si="24"/>
        <v>126</v>
      </c>
      <c r="M118">
        <f t="shared" si="25"/>
        <v>39.099999999999994</v>
      </c>
      <c r="N118" s="2">
        <f t="shared" si="26"/>
        <v>0.31031746031746027</v>
      </c>
      <c r="P118">
        <f t="shared" si="27"/>
        <v>126</v>
      </c>
      <c r="Q118">
        <f t="shared" si="28"/>
        <v>126</v>
      </c>
      <c r="R118">
        <f t="shared" si="29"/>
        <v>126</v>
      </c>
      <c r="S118" t="b">
        <f t="shared" si="30"/>
        <v>0</v>
      </c>
      <c r="U118">
        <f t="shared" si="31"/>
        <v>109</v>
      </c>
      <c r="V118">
        <f t="shared" si="32"/>
        <v>27.2</v>
      </c>
      <c r="W118" s="2">
        <f t="shared" si="33"/>
        <v>0.24954128440366971</v>
      </c>
    </row>
    <row r="119" spans="1:23" x14ac:dyDescent="0.35">
      <c r="A119">
        <v>117</v>
      </c>
      <c r="B119" t="s">
        <v>124</v>
      </c>
      <c r="C119" t="s">
        <v>130</v>
      </c>
      <c r="D119">
        <v>50.6</v>
      </c>
      <c r="E119">
        <v>186</v>
      </c>
      <c r="G119">
        <f t="shared" si="34"/>
        <v>55.79999999999999</v>
      </c>
      <c r="H119" s="2">
        <f t="shared" si="35"/>
        <v>0.29999999999999993</v>
      </c>
      <c r="J119">
        <f t="shared" si="36"/>
        <v>165</v>
      </c>
      <c r="L119">
        <f t="shared" si="24"/>
        <v>186</v>
      </c>
      <c r="M119">
        <f t="shared" si="25"/>
        <v>55.79999999999999</v>
      </c>
      <c r="N119" s="2">
        <f t="shared" si="26"/>
        <v>0.29999999999999993</v>
      </c>
      <c r="P119">
        <f t="shared" si="27"/>
        <v>186</v>
      </c>
      <c r="Q119">
        <f t="shared" si="28"/>
        <v>186</v>
      </c>
      <c r="R119">
        <f t="shared" si="29"/>
        <v>186</v>
      </c>
      <c r="S119" t="b">
        <f t="shared" si="30"/>
        <v>0</v>
      </c>
      <c r="U119">
        <f t="shared" si="31"/>
        <v>165</v>
      </c>
      <c r="V119">
        <f t="shared" si="32"/>
        <v>41.099999999999987</v>
      </c>
      <c r="W119" s="2">
        <f t="shared" si="33"/>
        <v>0.249090909090909</v>
      </c>
    </row>
    <row r="120" spans="1:23" x14ac:dyDescent="0.35">
      <c r="A120">
        <v>118</v>
      </c>
      <c r="B120" t="s">
        <v>124</v>
      </c>
      <c r="C120" t="s">
        <v>131</v>
      </c>
      <c r="D120">
        <v>7.45</v>
      </c>
      <c r="E120">
        <v>70</v>
      </c>
      <c r="G120">
        <f t="shared" si="34"/>
        <v>17.75</v>
      </c>
      <c r="H120" s="2">
        <f t="shared" si="35"/>
        <v>0.25357142857142856</v>
      </c>
      <c r="J120">
        <f t="shared" si="36"/>
        <v>69</v>
      </c>
      <c r="L120">
        <f t="shared" si="24"/>
        <v>70</v>
      </c>
      <c r="M120">
        <f t="shared" si="25"/>
        <v>17.75</v>
      </c>
      <c r="N120" s="2">
        <f t="shared" si="26"/>
        <v>0.25357142857142856</v>
      </c>
      <c r="P120">
        <f t="shared" si="27"/>
        <v>70</v>
      </c>
      <c r="Q120">
        <f t="shared" si="28"/>
        <v>70</v>
      </c>
      <c r="R120">
        <f t="shared" si="29"/>
        <v>70</v>
      </c>
      <c r="S120" t="b">
        <f t="shared" si="30"/>
        <v>0</v>
      </c>
      <c r="U120">
        <f t="shared" si="31"/>
        <v>60</v>
      </c>
      <c r="V120">
        <f t="shared" si="32"/>
        <v>14.95</v>
      </c>
      <c r="W120" s="2">
        <f t="shared" si="33"/>
        <v>0.24916666666666665</v>
      </c>
    </row>
    <row r="121" spans="1:23" x14ac:dyDescent="0.35">
      <c r="A121">
        <v>119</v>
      </c>
      <c r="B121" t="s">
        <v>124</v>
      </c>
      <c r="C121" t="s">
        <v>132</v>
      </c>
      <c r="D121">
        <v>15.05</v>
      </c>
      <c r="E121">
        <v>115</v>
      </c>
      <c r="G121">
        <f t="shared" si="34"/>
        <v>41.649999999999991</v>
      </c>
      <c r="H121" s="2">
        <f t="shared" si="35"/>
        <v>0.36217391304347818</v>
      </c>
      <c r="J121">
        <f t="shared" si="36"/>
        <v>86</v>
      </c>
      <c r="L121">
        <f t="shared" si="24"/>
        <v>115</v>
      </c>
      <c r="M121">
        <f t="shared" si="25"/>
        <v>41.649999999999991</v>
      </c>
      <c r="N121" s="2">
        <f t="shared" si="26"/>
        <v>0.36217391304347818</v>
      </c>
      <c r="P121">
        <f t="shared" si="27"/>
        <v>115</v>
      </c>
      <c r="Q121">
        <f t="shared" si="28"/>
        <v>115</v>
      </c>
      <c r="R121">
        <f t="shared" si="29"/>
        <v>115</v>
      </c>
      <c r="S121" t="b">
        <f t="shared" si="30"/>
        <v>0</v>
      </c>
      <c r="U121">
        <f t="shared" si="31"/>
        <v>86</v>
      </c>
      <c r="V121">
        <f t="shared" si="32"/>
        <v>21.349999999999998</v>
      </c>
      <c r="W121" s="2">
        <f t="shared" si="33"/>
        <v>0.24825581395348834</v>
      </c>
    </row>
    <row r="122" spans="1:23" x14ac:dyDescent="0.35">
      <c r="A122">
        <v>120</v>
      </c>
      <c r="B122" t="s">
        <v>124</v>
      </c>
      <c r="C122" t="s">
        <v>133</v>
      </c>
      <c r="D122">
        <v>30.09</v>
      </c>
      <c r="E122">
        <v>172</v>
      </c>
      <c r="G122">
        <f t="shared" si="34"/>
        <v>66.509999999999991</v>
      </c>
      <c r="H122" s="2">
        <f t="shared" si="35"/>
        <v>0.38668604651162786</v>
      </c>
      <c r="J122">
        <f t="shared" si="36"/>
        <v>120</v>
      </c>
      <c r="L122">
        <f t="shared" si="24"/>
        <v>172</v>
      </c>
      <c r="M122">
        <f t="shared" si="25"/>
        <v>66.509999999999991</v>
      </c>
      <c r="N122" s="2">
        <f t="shared" si="26"/>
        <v>0.38668604651162786</v>
      </c>
      <c r="P122">
        <f t="shared" si="27"/>
        <v>172</v>
      </c>
      <c r="Q122">
        <f t="shared" si="28"/>
        <v>172</v>
      </c>
      <c r="R122">
        <f t="shared" si="29"/>
        <v>172</v>
      </c>
      <c r="S122" t="b">
        <f t="shared" si="30"/>
        <v>0</v>
      </c>
      <c r="U122">
        <f t="shared" si="31"/>
        <v>120</v>
      </c>
      <c r="V122">
        <f t="shared" si="32"/>
        <v>30.109999999999996</v>
      </c>
      <c r="W122" s="2">
        <f t="shared" si="33"/>
        <v>0.25091666666666662</v>
      </c>
    </row>
    <row r="123" spans="1:23" x14ac:dyDescent="0.35">
      <c r="A123">
        <v>121</v>
      </c>
      <c r="B123" t="s">
        <v>124</v>
      </c>
      <c r="C123" t="s">
        <v>134</v>
      </c>
      <c r="D123">
        <v>7.14</v>
      </c>
      <c r="E123">
        <v>71</v>
      </c>
      <c r="G123">
        <f t="shared" si="34"/>
        <v>18.759999999999998</v>
      </c>
      <c r="H123" s="2">
        <f t="shared" si="35"/>
        <v>0.264225352112676</v>
      </c>
      <c r="J123">
        <f t="shared" si="36"/>
        <v>69</v>
      </c>
      <c r="L123">
        <f t="shared" si="24"/>
        <v>71</v>
      </c>
      <c r="M123">
        <f t="shared" si="25"/>
        <v>18.759999999999998</v>
      </c>
      <c r="N123" s="2">
        <f t="shared" si="26"/>
        <v>0.264225352112676</v>
      </c>
      <c r="P123">
        <f t="shared" si="27"/>
        <v>71</v>
      </c>
      <c r="Q123">
        <f t="shared" si="28"/>
        <v>71</v>
      </c>
      <c r="R123">
        <f t="shared" si="29"/>
        <v>71</v>
      </c>
      <c r="S123" t="b">
        <f t="shared" si="30"/>
        <v>0</v>
      </c>
      <c r="U123">
        <f t="shared" si="31"/>
        <v>58</v>
      </c>
      <c r="V123">
        <f t="shared" si="32"/>
        <v>14.419999999999995</v>
      </c>
      <c r="W123" s="2">
        <f t="shared" si="33"/>
        <v>0.24862068965517231</v>
      </c>
    </row>
    <row r="124" spans="1:23" x14ac:dyDescent="0.35">
      <c r="A124">
        <v>122</v>
      </c>
      <c r="B124" t="s">
        <v>124</v>
      </c>
      <c r="C124" t="s">
        <v>135</v>
      </c>
      <c r="D124">
        <v>14.29</v>
      </c>
      <c r="E124">
        <v>118</v>
      </c>
      <c r="G124">
        <f t="shared" si="34"/>
        <v>44.51</v>
      </c>
      <c r="H124" s="2">
        <f t="shared" si="35"/>
        <v>0.37720338983050844</v>
      </c>
      <c r="J124">
        <f t="shared" si="36"/>
        <v>85</v>
      </c>
      <c r="L124">
        <f t="shared" si="24"/>
        <v>118</v>
      </c>
      <c r="M124">
        <f t="shared" si="25"/>
        <v>44.51</v>
      </c>
      <c r="N124" s="2">
        <f t="shared" si="26"/>
        <v>0.37720338983050844</v>
      </c>
      <c r="P124">
        <f t="shared" si="27"/>
        <v>118</v>
      </c>
      <c r="Q124">
        <f t="shared" si="28"/>
        <v>118</v>
      </c>
      <c r="R124">
        <f t="shared" si="29"/>
        <v>118</v>
      </c>
      <c r="S124" t="b">
        <f t="shared" si="30"/>
        <v>0</v>
      </c>
      <c r="U124">
        <f t="shared" si="31"/>
        <v>85</v>
      </c>
      <c r="V124">
        <f t="shared" si="32"/>
        <v>21.409999999999997</v>
      </c>
      <c r="W124" s="2">
        <f t="shared" si="33"/>
        <v>0.25188235294117645</v>
      </c>
    </row>
    <row r="125" spans="1:23" x14ac:dyDescent="0.35">
      <c r="A125">
        <v>123</v>
      </c>
      <c r="B125" t="s">
        <v>124</v>
      </c>
      <c r="C125" t="s">
        <v>136</v>
      </c>
      <c r="D125">
        <v>28.58</v>
      </c>
      <c r="E125">
        <v>178</v>
      </c>
      <c r="G125">
        <f t="shared" si="34"/>
        <v>72.22</v>
      </c>
      <c r="H125" s="2">
        <f t="shared" si="35"/>
        <v>0.40573033707865169</v>
      </c>
      <c r="J125">
        <f t="shared" si="36"/>
        <v>116</v>
      </c>
      <c r="L125">
        <f t="shared" si="24"/>
        <v>178</v>
      </c>
      <c r="M125">
        <f t="shared" si="25"/>
        <v>72.22</v>
      </c>
      <c r="N125" s="2">
        <f t="shared" si="26"/>
        <v>0.40573033707865169</v>
      </c>
      <c r="P125">
        <f t="shared" si="27"/>
        <v>178</v>
      </c>
      <c r="Q125">
        <f t="shared" si="28"/>
        <v>178</v>
      </c>
      <c r="R125">
        <f t="shared" si="29"/>
        <v>178</v>
      </c>
      <c r="S125" t="b">
        <f t="shared" si="30"/>
        <v>0</v>
      </c>
      <c r="U125">
        <f t="shared" si="31"/>
        <v>116</v>
      </c>
      <c r="V125">
        <f t="shared" si="32"/>
        <v>28.82</v>
      </c>
      <c r="W125" s="2">
        <f t="shared" si="33"/>
        <v>0.24844827586206897</v>
      </c>
    </row>
    <row r="126" spans="1:23" x14ac:dyDescent="0.35">
      <c r="A126">
        <v>124</v>
      </c>
      <c r="B126" t="s">
        <v>124</v>
      </c>
      <c r="C126" t="s">
        <v>137</v>
      </c>
      <c r="D126">
        <v>13.4</v>
      </c>
      <c r="E126">
        <v>80</v>
      </c>
      <c r="G126">
        <f t="shared" si="34"/>
        <v>18.799999999999997</v>
      </c>
      <c r="H126" s="2">
        <f t="shared" si="35"/>
        <v>0.23499999999999996</v>
      </c>
      <c r="J126">
        <f t="shared" si="36"/>
        <v>83</v>
      </c>
      <c r="L126">
        <f t="shared" si="24"/>
        <v>83</v>
      </c>
      <c r="M126">
        <f t="shared" si="25"/>
        <v>20.9</v>
      </c>
      <c r="N126" s="2">
        <f t="shared" si="26"/>
        <v>0.25180722891566265</v>
      </c>
      <c r="P126">
        <f t="shared" si="27"/>
        <v>83</v>
      </c>
      <c r="Q126">
        <f t="shared" si="28"/>
        <v>83</v>
      </c>
      <c r="R126">
        <f t="shared" si="29"/>
        <v>83</v>
      </c>
      <c r="S126" t="b">
        <f t="shared" si="30"/>
        <v>0</v>
      </c>
      <c r="U126">
        <f t="shared" si="31"/>
        <v>83</v>
      </c>
      <c r="V126">
        <f t="shared" si="32"/>
        <v>20.9</v>
      </c>
      <c r="W126" s="2">
        <f t="shared" si="33"/>
        <v>0.25180722891566265</v>
      </c>
    </row>
    <row r="127" spans="1:23" x14ac:dyDescent="0.35">
      <c r="A127">
        <v>125</v>
      </c>
      <c r="B127" t="s">
        <v>124</v>
      </c>
      <c r="C127" t="s">
        <v>138</v>
      </c>
      <c r="D127">
        <v>26.8</v>
      </c>
      <c r="E127">
        <v>132</v>
      </c>
      <c r="G127">
        <f t="shared" si="34"/>
        <v>41.8</v>
      </c>
      <c r="H127" s="2">
        <f t="shared" si="35"/>
        <v>0.31666666666666665</v>
      </c>
      <c r="J127">
        <f t="shared" si="36"/>
        <v>112</v>
      </c>
      <c r="L127">
        <f t="shared" si="24"/>
        <v>132</v>
      </c>
      <c r="M127">
        <f t="shared" si="25"/>
        <v>41.8</v>
      </c>
      <c r="N127" s="2">
        <f t="shared" si="26"/>
        <v>0.31666666666666665</v>
      </c>
      <c r="P127">
        <f t="shared" si="27"/>
        <v>132</v>
      </c>
      <c r="Q127">
        <f t="shared" si="28"/>
        <v>132</v>
      </c>
      <c r="R127">
        <f t="shared" si="29"/>
        <v>132</v>
      </c>
      <c r="S127" t="b">
        <f t="shared" si="30"/>
        <v>0</v>
      </c>
      <c r="U127">
        <f t="shared" si="31"/>
        <v>112</v>
      </c>
      <c r="V127">
        <f t="shared" si="32"/>
        <v>27.799999999999994</v>
      </c>
      <c r="W127" s="2">
        <f t="shared" si="33"/>
        <v>0.24821428571428567</v>
      </c>
    </row>
    <row r="128" spans="1:23" x14ac:dyDescent="0.35">
      <c r="A128">
        <v>126</v>
      </c>
      <c r="B128" t="s">
        <v>124</v>
      </c>
      <c r="C128" t="s">
        <v>139</v>
      </c>
      <c r="D128">
        <v>53.6</v>
      </c>
      <c r="E128">
        <v>192</v>
      </c>
      <c r="G128">
        <f t="shared" si="34"/>
        <v>56.999999999999993</v>
      </c>
      <c r="H128" s="2">
        <f t="shared" si="35"/>
        <v>0.29687499999999994</v>
      </c>
      <c r="J128">
        <f t="shared" si="36"/>
        <v>172</v>
      </c>
      <c r="L128">
        <f t="shared" si="24"/>
        <v>192</v>
      </c>
      <c r="M128">
        <f t="shared" si="25"/>
        <v>56.999999999999993</v>
      </c>
      <c r="N128" s="2">
        <f t="shared" si="26"/>
        <v>0.29687499999999994</v>
      </c>
      <c r="P128">
        <f t="shared" si="27"/>
        <v>192</v>
      </c>
      <c r="Q128">
        <f t="shared" si="28"/>
        <v>192</v>
      </c>
      <c r="R128">
        <f t="shared" si="29"/>
        <v>192</v>
      </c>
      <c r="S128" t="b">
        <f t="shared" si="30"/>
        <v>0</v>
      </c>
      <c r="U128">
        <f t="shared" si="31"/>
        <v>172</v>
      </c>
      <c r="V128">
        <f t="shared" si="32"/>
        <v>42.999999999999993</v>
      </c>
      <c r="W128" s="2">
        <f t="shared" si="33"/>
        <v>0.24999999999999997</v>
      </c>
    </row>
    <row r="129" spans="1:23" x14ac:dyDescent="0.35">
      <c r="A129">
        <v>127</v>
      </c>
      <c r="B129" t="s">
        <v>140</v>
      </c>
      <c r="C129" t="s">
        <v>141</v>
      </c>
      <c r="D129">
        <v>0.44</v>
      </c>
      <c r="E129">
        <v>5</v>
      </c>
      <c r="G129">
        <f t="shared" si="34"/>
        <v>-1.4899999999999998</v>
      </c>
      <c r="H129" s="2">
        <f t="shared" si="35"/>
        <v>-0.29799999999999993</v>
      </c>
      <c r="J129">
        <v>5</v>
      </c>
      <c r="L129">
        <f t="shared" si="24"/>
        <v>5</v>
      </c>
      <c r="M129">
        <f t="shared" si="25"/>
        <v>-1.4899999999999998</v>
      </c>
      <c r="N129" s="2">
        <f t="shared" si="26"/>
        <v>-0.29799999999999993</v>
      </c>
      <c r="P129">
        <f t="shared" si="27"/>
        <v>5</v>
      </c>
      <c r="Q129">
        <f t="shared" si="28"/>
        <v>5</v>
      </c>
      <c r="R129">
        <f t="shared" si="29"/>
        <v>5</v>
      </c>
      <c r="S129" t="b">
        <f t="shared" si="30"/>
        <v>0</v>
      </c>
      <c r="U129">
        <f t="shared" si="31"/>
        <v>19</v>
      </c>
      <c r="V129">
        <f t="shared" si="32"/>
        <v>4.7399999999999984</v>
      </c>
      <c r="W129" s="2">
        <f t="shared" si="33"/>
        <v>0.24947368421052624</v>
      </c>
    </row>
    <row r="130" spans="1:23" x14ac:dyDescent="0.35">
      <c r="A130">
        <v>128</v>
      </c>
      <c r="B130" t="s">
        <v>140</v>
      </c>
      <c r="C130" t="s">
        <v>142</v>
      </c>
      <c r="D130">
        <v>2.04</v>
      </c>
      <c r="E130">
        <v>9</v>
      </c>
      <c r="G130">
        <f t="shared" si="34"/>
        <v>-1.69</v>
      </c>
      <c r="H130" s="2">
        <f t="shared" si="35"/>
        <v>-0.18777777777777777</v>
      </c>
      <c r="J130">
        <v>9</v>
      </c>
      <c r="L130">
        <f t="shared" si="24"/>
        <v>9</v>
      </c>
      <c r="M130">
        <f t="shared" si="25"/>
        <v>-1.69</v>
      </c>
      <c r="N130" s="2">
        <f t="shared" si="26"/>
        <v>-0.18777777777777777</v>
      </c>
      <c r="P130">
        <f t="shared" si="27"/>
        <v>9</v>
      </c>
      <c r="Q130">
        <f t="shared" si="28"/>
        <v>9</v>
      </c>
      <c r="R130">
        <f t="shared" si="29"/>
        <v>9</v>
      </c>
      <c r="S130" t="b">
        <f t="shared" si="30"/>
        <v>0</v>
      </c>
      <c r="U130">
        <f t="shared" si="31"/>
        <v>28</v>
      </c>
      <c r="V130">
        <f t="shared" si="32"/>
        <v>6.9199999999999973</v>
      </c>
      <c r="W130" s="2">
        <f t="shared" si="33"/>
        <v>0.24714285714285705</v>
      </c>
    </row>
    <row r="131" spans="1:23" x14ac:dyDescent="0.35">
      <c r="A131">
        <v>129</v>
      </c>
      <c r="B131" t="s">
        <v>140</v>
      </c>
      <c r="C131" t="s">
        <v>143</v>
      </c>
      <c r="D131">
        <v>2.04</v>
      </c>
      <c r="E131">
        <v>9</v>
      </c>
      <c r="G131">
        <f t="shared" ref="G131:G141" si="37">IFERROR(((E131-MIN(E131/2,30)-4)*0.7)-$D131,0)</f>
        <v>-1.69</v>
      </c>
      <c r="H131" s="2">
        <f t="shared" ref="H131:H162" si="38">IFERROR(G131/E131,0)</f>
        <v>-0.18777777777777777</v>
      </c>
      <c r="J131">
        <v>9</v>
      </c>
      <c r="L131">
        <f t="shared" si="24"/>
        <v>9</v>
      </c>
      <c r="M131">
        <f t="shared" si="25"/>
        <v>-1.69</v>
      </c>
      <c r="N131" s="2">
        <f t="shared" si="26"/>
        <v>-0.18777777777777777</v>
      </c>
      <c r="P131">
        <f t="shared" si="27"/>
        <v>9</v>
      </c>
      <c r="Q131">
        <f t="shared" si="28"/>
        <v>9</v>
      </c>
      <c r="R131">
        <f t="shared" si="29"/>
        <v>9</v>
      </c>
      <c r="S131" t="b">
        <f t="shared" si="30"/>
        <v>0</v>
      </c>
      <c r="U131">
        <f t="shared" si="31"/>
        <v>28</v>
      </c>
      <c r="V131">
        <f t="shared" si="32"/>
        <v>6.9199999999999973</v>
      </c>
      <c r="W131" s="2">
        <f t="shared" si="33"/>
        <v>0.24714285714285705</v>
      </c>
    </row>
    <row r="132" spans="1:23" x14ac:dyDescent="0.35">
      <c r="A132">
        <v>130</v>
      </c>
      <c r="B132" t="s">
        <v>140</v>
      </c>
      <c r="C132" t="s">
        <v>144</v>
      </c>
      <c r="D132">
        <v>2.04</v>
      </c>
      <c r="E132">
        <v>9</v>
      </c>
      <c r="G132">
        <f t="shared" si="37"/>
        <v>-1.69</v>
      </c>
      <c r="H132" s="2">
        <f t="shared" si="38"/>
        <v>-0.18777777777777777</v>
      </c>
      <c r="J132">
        <v>9</v>
      </c>
      <c r="L132">
        <f t="shared" ref="L132:L141" si="39">MAX(J132,E132)</f>
        <v>9</v>
      </c>
      <c r="M132">
        <f t="shared" ref="M132:M141" si="40">((L132-(MIN(L132/2,30))-4)*0.7)-D132</f>
        <v>-1.69</v>
      </c>
      <c r="N132" s="2">
        <f t="shared" ref="N132:N141" si="41">M132/L132</f>
        <v>-0.18777777777777777</v>
      </c>
      <c r="P132">
        <f t="shared" ref="P132:P141" si="42">IF(L132&gt;E132,IF(E132+3&lt;=L132,E132+3,L132),E132)</f>
        <v>9</v>
      </c>
      <c r="Q132">
        <f t="shared" ref="Q132:Q141" si="43">IF(P132&lt;$L132,IF(P132+3&lt;=L132,P132+3,L132),P132)</f>
        <v>9</v>
      </c>
      <c r="R132">
        <f t="shared" ref="R132:R141" si="44">IF(Q132&lt;$L132,IF(Q132+3&gt;L132,L132,Q132+3),L132)</f>
        <v>9</v>
      </c>
      <c r="S132" t="b">
        <f t="shared" ref="S132:S135" si="45">R132&gt;L132</f>
        <v>0</v>
      </c>
      <c r="U132">
        <f t="shared" ref="U132:U141" si="46">ROUND(IF(D132&lt;=9.95,16.47+5.88*(D132),52.89+(2.22*D132)),0)</f>
        <v>28</v>
      </c>
      <c r="V132">
        <f t="shared" ref="V132:V141" si="47">((U132-MIN(U132*0.4,30)-4)*0.7)-D132</f>
        <v>6.9199999999999973</v>
      </c>
      <c r="W132" s="2">
        <f t="shared" ref="W132:W141" si="48">V132/U132</f>
        <v>0.24714285714285705</v>
      </c>
    </row>
    <row r="133" spans="1:23" x14ac:dyDescent="0.35">
      <c r="A133">
        <v>131</v>
      </c>
      <c r="B133" t="s">
        <v>140</v>
      </c>
      <c r="C133" t="s">
        <v>145</v>
      </c>
      <c r="D133">
        <v>2.04</v>
      </c>
      <c r="E133">
        <v>9</v>
      </c>
      <c r="G133">
        <f t="shared" si="37"/>
        <v>-1.69</v>
      </c>
      <c r="H133" s="2">
        <f t="shared" si="38"/>
        <v>-0.18777777777777777</v>
      </c>
      <c r="J133">
        <v>9</v>
      </c>
      <c r="L133">
        <f t="shared" si="39"/>
        <v>9</v>
      </c>
      <c r="M133">
        <f t="shared" si="40"/>
        <v>-1.69</v>
      </c>
      <c r="N133" s="2">
        <f t="shared" si="41"/>
        <v>-0.18777777777777777</v>
      </c>
      <c r="P133">
        <f t="shared" si="42"/>
        <v>9</v>
      </c>
      <c r="Q133">
        <f t="shared" si="43"/>
        <v>9</v>
      </c>
      <c r="R133">
        <f t="shared" si="44"/>
        <v>9</v>
      </c>
      <c r="S133" t="b">
        <f t="shared" si="45"/>
        <v>0</v>
      </c>
      <c r="U133">
        <f t="shared" si="46"/>
        <v>28</v>
      </c>
      <c r="V133">
        <f t="shared" si="47"/>
        <v>6.9199999999999973</v>
      </c>
      <c r="W133" s="2">
        <f t="shared" si="48"/>
        <v>0.24714285714285705</v>
      </c>
    </row>
    <row r="134" spans="1:23" x14ac:dyDescent="0.35">
      <c r="A134">
        <v>132</v>
      </c>
      <c r="B134" t="s">
        <v>140</v>
      </c>
      <c r="C134" t="s">
        <v>146</v>
      </c>
      <c r="D134">
        <v>2.04</v>
      </c>
      <c r="E134">
        <v>9</v>
      </c>
      <c r="G134">
        <f t="shared" si="37"/>
        <v>-1.69</v>
      </c>
      <c r="H134" s="2">
        <f t="shared" si="38"/>
        <v>-0.18777777777777777</v>
      </c>
      <c r="J134">
        <v>9</v>
      </c>
      <c r="L134">
        <f t="shared" si="39"/>
        <v>9</v>
      </c>
      <c r="M134">
        <f t="shared" si="40"/>
        <v>-1.69</v>
      </c>
      <c r="N134" s="2">
        <f t="shared" si="41"/>
        <v>-0.18777777777777777</v>
      </c>
      <c r="P134">
        <f t="shared" si="42"/>
        <v>9</v>
      </c>
      <c r="Q134">
        <f t="shared" si="43"/>
        <v>9</v>
      </c>
      <c r="R134">
        <f t="shared" si="44"/>
        <v>9</v>
      </c>
      <c r="S134" t="b">
        <f t="shared" si="45"/>
        <v>0</v>
      </c>
      <c r="U134">
        <f t="shared" si="46"/>
        <v>28</v>
      </c>
      <c r="V134">
        <f t="shared" si="47"/>
        <v>6.9199999999999973</v>
      </c>
      <c r="W134" s="2">
        <f t="shared" si="48"/>
        <v>0.24714285714285705</v>
      </c>
    </row>
    <row r="135" spans="1:23" x14ac:dyDescent="0.35">
      <c r="A135">
        <v>133</v>
      </c>
      <c r="B135" t="s">
        <v>147</v>
      </c>
      <c r="C135" t="s">
        <v>23</v>
      </c>
      <c r="D135">
        <v>7.14</v>
      </c>
      <c r="E135">
        <v>66</v>
      </c>
      <c r="G135">
        <f t="shared" si="37"/>
        <v>15.259999999999998</v>
      </c>
      <c r="H135" s="2">
        <f t="shared" si="38"/>
        <v>0.23121212121212117</v>
      </c>
      <c r="J135">
        <f t="shared" ref="J135:J137" si="49">ROUND(IF(D135&lt;=3.2,28+10*(D135),(23.8+D135)/0.45),0)</f>
        <v>69</v>
      </c>
      <c r="L135">
        <f t="shared" si="39"/>
        <v>69</v>
      </c>
      <c r="M135">
        <f t="shared" si="40"/>
        <v>17.36</v>
      </c>
      <c r="N135" s="2">
        <f t="shared" si="41"/>
        <v>0.25159420289855072</v>
      </c>
      <c r="P135">
        <f t="shared" si="42"/>
        <v>69</v>
      </c>
      <c r="Q135">
        <f t="shared" si="43"/>
        <v>69</v>
      </c>
      <c r="R135">
        <f t="shared" si="44"/>
        <v>69</v>
      </c>
      <c r="S135" t="b">
        <f t="shared" si="45"/>
        <v>0</v>
      </c>
      <c r="U135">
        <f t="shared" si="46"/>
        <v>58</v>
      </c>
      <c r="V135">
        <f t="shared" si="47"/>
        <v>14.419999999999995</v>
      </c>
      <c r="W135" s="2">
        <f t="shared" si="48"/>
        <v>0.24862068965517231</v>
      </c>
    </row>
    <row r="136" spans="1:23" x14ac:dyDescent="0.35">
      <c r="A136">
        <v>134</v>
      </c>
      <c r="B136" t="s">
        <v>9</v>
      </c>
      <c r="C136" t="s">
        <v>148</v>
      </c>
      <c r="D136">
        <v>14.38</v>
      </c>
      <c r="E136">
        <v>73</v>
      </c>
      <c r="G136">
        <f t="shared" si="37"/>
        <v>12.919999999999996</v>
      </c>
      <c r="H136" s="2">
        <f t="shared" si="38"/>
        <v>0.17698630136986296</v>
      </c>
      <c r="J136">
        <f t="shared" si="49"/>
        <v>85</v>
      </c>
      <c r="L136">
        <f t="shared" si="39"/>
        <v>85</v>
      </c>
      <c r="M136">
        <f t="shared" si="40"/>
        <v>21.319999999999993</v>
      </c>
      <c r="N136" s="2">
        <f t="shared" si="41"/>
        <v>0.25082352941176461</v>
      </c>
      <c r="P136">
        <f t="shared" si="42"/>
        <v>76</v>
      </c>
      <c r="Q136">
        <f t="shared" si="43"/>
        <v>79</v>
      </c>
      <c r="R136">
        <f t="shared" si="44"/>
        <v>82</v>
      </c>
      <c r="U136">
        <f t="shared" si="46"/>
        <v>85</v>
      </c>
      <c r="V136">
        <f t="shared" si="47"/>
        <v>21.319999999999993</v>
      </c>
      <c r="W136" s="2">
        <f t="shared" si="48"/>
        <v>0.25082352941176461</v>
      </c>
    </row>
    <row r="137" spans="1:23" x14ac:dyDescent="0.35">
      <c r="A137">
        <v>135</v>
      </c>
      <c r="B137" t="s">
        <v>38</v>
      </c>
      <c r="C137" t="s">
        <v>149</v>
      </c>
      <c r="D137">
        <v>13.15</v>
      </c>
      <c r="E137">
        <v>74</v>
      </c>
      <c r="G137">
        <f t="shared" si="37"/>
        <v>14.85</v>
      </c>
      <c r="H137" s="2">
        <f t="shared" si="38"/>
        <v>0.20067567567567568</v>
      </c>
      <c r="J137">
        <f t="shared" si="49"/>
        <v>82</v>
      </c>
      <c r="L137">
        <f t="shared" si="39"/>
        <v>82</v>
      </c>
      <c r="M137">
        <f t="shared" si="40"/>
        <v>20.449999999999996</v>
      </c>
      <c r="N137" s="2">
        <f t="shared" si="41"/>
        <v>0.24939024390243897</v>
      </c>
      <c r="P137">
        <f t="shared" si="42"/>
        <v>77</v>
      </c>
      <c r="Q137">
        <f t="shared" si="43"/>
        <v>80</v>
      </c>
      <c r="R137">
        <f t="shared" si="44"/>
        <v>82</v>
      </c>
      <c r="U137">
        <f t="shared" si="46"/>
        <v>82</v>
      </c>
      <c r="V137">
        <f t="shared" si="47"/>
        <v>20.449999999999996</v>
      </c>
      <c r="W137" s="2">
        <f t="shared" si="48"/>
        <v>0.24939024390243897</v>
      </c>
    </row>
    <row r="138" spans="1:23" x14ac:dyDescent="0.35">
      <c r="A138">
        <v>136</v>
      </c>
      <c r="B138" t="s">
        <v>150</v>
      </c>
      <c r="C138" t="s">
        <v>70</v>
      </c>
      <c r="D138">
        <v>8.49</v>
      </c>
      <c r="E138">
        <v>58</v>
      </c>
      <c r="G138">
        <f t="shared" si="37"/>
        <v>9.01</v>
      </c>
      <c r="H138" s="2">
        <f t="shared" si="38"/>
        <v>0.15534482758620688</v>
      </c>
      <c r="J138">
        <v>58</v>
      </c>
      <c r="L138">
        <f t="shared" si="39"/>
        <v>58</v>
      </c>
      <c r="M138">
        <f t="shared" si="40"/>
        <v>9.01</v>
      </c>
      <c r="N138" s="2">
        <f t="shared" si="41"/>
        <v>0.15534482758620688</v>
      </c>
      <c r="P138">
        <f t="shared" si="42"/>
        <v>58</v>
      </c>
      <c r="Q138">
        <f t="shared" si="43"/>
        <v>58</v>
      </c>
      <c r="R138">
        <f t="shared" si="44"/>
        <v>58</v>
      </c>
      <c r="U138">
        <f t="shared" si="46"/>
        <v>66</v>
      </c>
      <c r="V138">
        <f t="shared" si="47"/>
        <v>16.429999999999993</v>
      </c>
      <c r="W138" s="2">
        <f t="shared" si="48"/>
        <v>0.24893939393939382</v>
      </c>
    </row>
    <row r="139" spans="1:23" x14ac:dyDescent="0.35">
      <c r="A139">
        <v>137</v>
      </c>
      <c r="B139" t="s">
        <v>102</v>
      </c>
      <c r="C139" t="s">
        <v>151</v>
      </c>
      <c r="D139">
        <v>2.46</v>
      </c>
      <c r="E139">
        <v>19</v>
      </c>
      <c r="G139">
        <f t="shared" si="37"/>
        <v>1.3899999999999997</v>
      </c>
      <c r="H139" s="2">
        <f t="shared" si="38"/>
        <v>7.3157894736842088E-2</v>
      </c>
      <c r="J139">
        <v>19</v>
      </c>
      <c r="L139">
        <f t="shared" si="39"/>
        <v>19</v>
      </c>
      <c r="M139">
        <f t="shared" si="40"/>
        <v>1.3899999999999997</v>
      </c>
      <c r="N139" s="2">
        <f t="shared" si="41"/>
        <v>7.3157894736842088E-2</v>
      </c>
      <c r="P139">
        <f t="shared" si="42"/>
        <v>19</v>
      </c>
      <c r="Q139">
        <f t="shared" si="43"/>
        <v>19</v>
      </c>
      <c r="R139">
        <f t="shared" si="44"/>
        <v>19</v>
      </c>
      <c r="U139">
        <f t="shared" si="46"/>
        <v>31</v>
      </c>
      <c r="V139">
        <f t="shared" si="47"/>
        <v>7.7600000000000007</v>
      </c>
      <c r="W139" s="2">
        <f t="shared" si="48"/>
        <v>0.25032258064516133</v>
      </c>
    </row>
    <row r="140" spans="1:23" x14ac:dyDescent="0.35">
      <c r="A140">
        <v>138</v>
      </c>
      <c r="B140" t="s">
        <v>102</v>
      </c>
      <c r="C140" t="s">
        <v>152</v>
      </c>
      <c r="D140">
        <v>1.64</v>
      </c>
      <c r="E140">
        <v>36</v>
      </c>
      <c r="G140">
        <f t="shared" si="37"/>
        <v>8.1599999999999984</v>
      </c>
      <c r="H140" s="2">
        <f t="shared" si="38"/>
        <v>0.22666666666666663</v>
      </c>
      <c r="J140">
        <v>36</v>
      </c>
      <c r="L140">
        <f t="shared" si="39"/>
        <v>36</v>
      </c>
      <c r="M140">
        <f t="shared" si="40"/>
        <v>8.1599999999999984</v>
      </c>
      <c r="N140" s="2">
        <f t="shared" si="41"/>
        <v>0.22666666666666663</v>
      </c>
      <c r="P140">
        <f t="shared" si="42"/>
        <v>36</v>
      </c>
      <c r="Q140">
        <f t="shared" si="43"/>
        <v>36</v>
      </c>
      <c r="R140">
        <f t="shared" si="44"/>
        <v>36</v>
      </c>
      <c r="U140">
        <f t="shared" si="46"/>
        <v>26</v>
      </c>
      <c r="V140">
        <f t="shared" si="47"/>
        <v>6.4799999999999995</v>
      </c>
      <c r="W140" s="2">
        <f t="shared" si="48"/>
        <v>0.2492307692307692</v>
      </c>
    </row>
    <row r="141" spans="1:23" x14ac:dyDescent="0.35">
      <c r="A141">
        <v>139</v>
      </c>
      <c r="B141" t="s">
        <v>102</v>
      </c>
      <c r="C141" t="s">
        <v>153</v>
      </c>
      <c r="D141">
        <v>4.6500000000000004</v>
      </c>
      <c r="E141">
        <v>49</v>
      </c>
      <c r="G141">
        <f t="shared" si="37"/>
        <v>9.6999999999999993</v>
      </c>
      <c r="H141" s="2">
        <f t="shared" si="38"/>
        <v>0.19795918367346937</v>
      </c>
      <c r="J141">
        <v>49</v>
      </c>
      <c r="L141">
        <f t="shared" si="39"/>
        <v>49</v>
      </c>
      <c r="M141">
        <f t="shared" si="40"/>
        <v>9.6999999999999993</v>
      </c>
      <c r="N141" s="2">
        <f t="shared" si="41"/>
        <v>0.19795918367346937</v>
      </c>
      <c r="P141">
        <f t="shared" si="42"/>
        <v>49</v>
      </c>
      <c r="Q141">
        <f t="shared" si="43"/>
        <v>49</v>
      </c>
      <c r="R141">
        <f t="shared" si="44"/>
        <v>49</v>
      </c>
      <c r="U141">
        <f t="shared" si="46"/>
        <v>44</v>
      </c>
      <c r="V141">
        <f t="shared" si="47"/>
        <v>11.029999999999998</v>
      </c>
      <c r="W141" s="2">
        <f t="shared" si="48"/>
        <v>0.25068181818181812</v>
      </c>
    </row>
  </sheetData>
  <autoFilter ref="A2:L141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American Menu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Richard Scripps</cp:lastModifiedBy>
  <dcterms:created xsi:type="dcterms:W3CDTF">2026-04-08T18:55:01Z</dcterms:created>
  <dcterms:modified xsi:type="dcterms:W3CDTF">2026-04-09T18:08:19Z</dcterms:modified>
</cp:coreProperties>
</file>